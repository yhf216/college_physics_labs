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Personal Documents\3大二上课程资料\大学物理实验周四678\大物实验报告\lab10-12.4 铁磁材料的磁滞回线和基本磁化曲线\"/>
    </mc:Choice>
  </mc:AlternateContent>
  <xr:revisionPtr revIDLastSave="0" documentId="13_ncr:1_{C34EA42E-7D66-4987-BA27-74DD8CDA2823}" xr6:coauthVersionLast="47" xr6:coauthVersionMax="47" xr10:uidLastSave="{00000000-0000-0000-0000-000000000000}"/>
  <bookViews>
    <workbookView xWindow="-103" yWindow="-103" windowWidth="22149" windowHeight="13200" activeTab="1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0" i="2" l="1"/>
  <c r="G10" i="2" s="1"/>
  <c r="H10" i="2" s="1"/>
  <c r="E10" i="2"/>
  <c r="F9" i="2"/>
  <c r="G9" i="2" s="1"/>
  <c r="H9" i="2" s="1"/>
  <c r="E9" i="2"/>
  <c r="F8" i="2"/>
  <c r="G8" i="2" s="1"/>
  <c r="H8" i="2" s="1"/>
  <c r="E8" i="2"/>
  <c r="F7" i="2"/>
  <c r="G7" i="2" s="1"/>
  <c r="H7" i="2" s="1"/>
  <c r="E7" i="2"/>
  <c r="F6" i="2"/>
  <c r="G6" i="2" s="1"/>
  <c r="H6" i="2" s="1"/>
  <c r="E6" i="2"/>
  <c r="F5" i="2"/>
  <c r="G5" i="2" s="1"/>
  <c r="H5" i="2" s="1"/>
  <c r="E5" i="2"/>
  <c r="F4" i="2"/>
  <c r="G4" i="2" s="1"/>
  <c r="H4" i="2" s="1"/>
  <c r="E4" i="2"/>
  <c r="F3" i="2"/>
  <c r="G3" i="2" s="1"/>
  <c r="H3" i="2" s="1"/>
  <c r="E3" i="2"/>
  <c r="F2" i="2"/>
  <c r="G2" i="2" s="1"/>
  <c r="H2" i="2" s="1"/>
  <c r="E2" i="2"/>
  <c r="F1" i="2"/>
  <c r="G1" i="2" s="1"/>
  <c r="H1" i="2" s="1"/>
  <c r="E1" i="2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1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1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1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0.000_ "/>
    <numFmt numFmtId="177" formatCode="0.0_ "/>
    <numFmt numFmtId="178" formatCode="0.00_ "/>
    <numFmt numFmtId="179" formatCode="0.0000000000E+00"/>
    <numFmt numFmtId="180" formatCode="0.00000_);[Red]\(0.00000\)"/>
    <numFmt numFmtId="181" formatCode="0.000000_ "/>
    <numFmt numFmtId="182" formatCode="0.0_);[Red]\(0.0\)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176" fontId="0" fillId="0" borderId="0" xfId="0" applyNumberFormat="1" applyAlignment="1">
      <alignment horizontal="center"/>
    </xf>
    <xf numFmtId="176" fontId="0" fillId="0" borderId="0" xfId="0" applyNumberFormat="1"/>
    <xf numFmtId="177" fontId="0" fillId="0" borderId="0" xfId="0" applyNumberFormat="1" applyAlignment="1">
      <alignment horizontal="center"/>
    </xf>
    <xf numFmtId="177" fontId="0" fillId="0" borderId="0" xfId="0" applyNumberFormat="1"/>
    <xf numFmtId="178" fontId="0" fillId="0" borderId="0" xfId="0" applyNumberFormat="1" applyAlignment="1">
      <alignment horizontal="center"/>
    </xf>
    <xf numFmtId="179" fontId="0" fillId="0" borderId="0" xfId="0" applyNumberFormat="1"/>
    <xf numFmtId="181" fontId="0" fillId="0" borderId="0" xfId="0" applyNumberFormat="1" applyAlignment="1">
      <alignment horizontal="center"/>
    </xf>
    <xf numFmtId="180" fontId="0" fillId="0" borderId="0" xfId="0" applyNumberFormat="1"/>
    <xf numFmtId="182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165"/>
  <sheetViews>
    <sheetView topLeftCell="B1" workbookViewId="0">
      <selection activeCell="D1" sqref="D1"/>
    </sheetView>
  </sheetViews>
  <sheetFormatPr defaultRowHeight="14.15" x14ac:dyDescent="0.35"/>
  <cols>
    <col min="2" max="2" width="9.140625" style="3"/>
    <col min="3" max="3" width="9.140625" style="5"/>
  </cols>
  <sheetData>
    <row r="1" spans="1:46" x14ac:dyDescent="0.35">
      <c r="A1" s="1">
        <v>1</v>
      </c>
      <c r="B1" s="2">
        <v>4.298</v>
      </c>
      <c r="C1" s="4">
        <v>835.8</v>
      </c>
      <c r="D1" s="1">
        <f>(150*B1)/(0.13*2.5)</f>
        <v>1983.6923076923078</v>
      </c>
      <c r="E1" s="1">
        <f>(10000*0.000003*C1*0.001)/(150*0.000124)</f>
        <v>1.3480645161290323</v>
      </c>
      <c r="F1" s="1">
        <f>E1/D1</f>
        <v>6.7957339497740879E-4</v>
      </c>
      <c r="G1" s="1">
        <f>F1/(4*3.14159265*10^(-7))</f>
        <v>540.78732563991775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spans="1:46" x14ac:dyDescent="0.35">
      <c r="A2" s="1">
        <v>2</v>
      </c>
      <c r="B2" s="2">
        <v>3.4540000000000002</v>
      </c>
      <c r="C2" s="4">
        <v>812.3</v>
      </c>
      <c r="D2" s="1">
        <f t="shared" ref="D2:D30" si="0">(150*B2)/(0.13*2.5)</f>
        <v>1594.1538461538462</v>
      </c>
      <c r="E2" s="1">
        <f t="shared" ref="E2:E30" si="1">(10000*0.000003*C2*0.001)/(150*0.000124)</f>
        <v>1.3101612903225806</v>
      </c>
      <c r="F2" s="1">
        <f t="shared" ref="F2:F30" si="2">E2/D2</f>
        <v>8.2185373355498682E-4</v>
      </c>
      <c r="G2" s="1">
        <f t="shared" ref="G2:G30" si="3">F2/(4*3.14159265*10^(-7))</f>
        <v>654.01042171634413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</row>
    <row r="3" spans="1:46" x14ac:dyDescent="0.35">
      <c r="A3" s="1">
        <v>3</v>
      </c>
      <c r="B3" s="2">
        <v>2.2040000000000002</v>
      </c>
      <c r="C3" s="4">
        <v>765.5</v>
      </c>
      <c r="D3" s="1">
        <f t="shared" si="0"/>
        <v>1017.2307692307693</v>
      </c>
      <c r="E3" s="1">
        <f t="shared" si="1"/>
        <v>1.2346774193548387</v>
      </c>
      <c r="F3" s="1">
        <f t="shared" si="2"/>
        <v>1.2137633432859121E-3</v>
      </c>
      <c r="G3" s="1">
        <f t="shared" si="3"/>
        <v>965.88218024217133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</row>
    <row r="4" spans="1:46" x14ac:dyDescent="0.35">
      <c r="A4" s="1">
        <v>4</v>
      </c>
      <c r="B4" s="2">
        <v>1.173</v>
      </c>
      <c r="C4" s="4">
        <v>718.6</v>
      </c>
      <c r="D4" s="1">
        <f t="shared" si="0"/>
        <v>541.38461538461547</v>
      </c>
      <c r="E4" s="1">
        <f t="shared" si="1"/>
        <v>1.1590322580645163</v>
      </c>
      <c r="F4" s="1">
        <f t="shared" si="2"/>
        <v>2.1408666318327237E-3</v>
      </c>
      <c r="G4" s="1">
        <f t="shared" si="3"/>
        <v>1703.6475367300752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</row>
    <row r="5" spans="1:46" x14ac:dyDescent="0.35">
      <c r="A5" s="1">
        <v>5</v>
      </c>
      <c r="B5" s="2">
        <v>0</v>
      </c>
      <c r="C5" s="4">
        <v>640.5</v>
      </c>
      <c r="D5" s="1">
        <f t="shared" si="0"/>
        <v>0</v>
      </c>
      <c r="E5" s="1">
        <f t="shared" si="1"/>
        <v>1.0330645161290322</v>
      </c>
      <c r="F5" s="1" t="e">
        <f t="shared" si="2"/>
        <v>#DIV/0!</v>
      </c>
      <c r="G5" s="1" t="e">
        <f t="shared" si="3"/>
        <v>#DIV/0!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</row>
    <row r="6" spans="1:46" x14ac:dyDescent="0.35">
      <c r="A6" s="1">
        <v>6</v>
      </c>
      <c r="B6" s="2">
        <v>-1.0620000000000001</v>
      </c>
      <c r="C6" s="4">
        <v>538.9</v>
      </c>
      <c r="D6" s="1">
        <f t="shared" si="0"/>
        <v>-490.15384615384619</v>
      </c>
      <c r="E6" s="1">
        <f t="shared" si="1"/>
        <v>0.86919354838709673</v>
      </c>
      <c r="F6" s="1">
        <f t="shared" si="2"/>
        <v>-1.7733076159812079E-3</v>
      </c>
      <c r="G6" s="1">
        <f t="shared" si="3"/>
        <v>-1411.1533651420466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</row>
    <row r="7" spans="1:46" x14ac:dyDescent="0.35">
      <c r="A7" s="1">
        <v>7</v>
      </c>
      <c r="B7" s="2">
        <v>-1.875</v>
      </c>
      <c r="C7" s="4">
        <v>421.7</v>
      </c>
      <c r="D7" s="1">
        <f t="shared" si="0"/>
        <v>-865.38461538461536</v>
      </c>
      <c r="E7" s="1">
        <f t="shared" si="1"/>
        <v>0.68016129032258066</v>
      </c>
      <c r="F7" s="1">
        <f t="shared" si="2"/>
        <v>-7.8596415770609319E-4</v>
      </c>
      <c r="G7" s="1">
        <f t="shared" si="3"/>
        <v>-625.45040467459489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</row>
    <row r="8" spans="1:46" x14ac:dyDescent="0.35">
      <c r="A8" s="1">
        <v>8</v>
      </c>
      <c r="B8" s="2">
        <v>-2.5</v>
      </c>
      <c r="C8" s="4">
        <v>296.7</v>
      </c>
      <c r="D8" s="1">
        <f t="shared" si="0"/>
        <v>-1153.8461538461538</v>
      </c>
      <c r="E8" s="1">
        <f t="shared" si="1"/>
        <v>0.47854838709677411</v>
      </c>
      <c r="F8" s="1">
        <f t="shared" si="2"/>
        <v>-4.1474193548387092E-4</v>
      </c>
      <c r="G8" s="1">
        <f t="shared" si="3"/>
        <v>-330.04114607591703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</row>
    <row r="9" spans="1:46" x14ac:dyDescent="0.35">
      <c r="A9" s="1">
        <v>9</v>
      </c>
      <c r="B9" s="2">
        <v>-2.9060000000000001</v>
      </c>
      <c r="C9" s="4">
        <v>187.3</v>
      </c>
      <c r="D9" s="1">
        <f t="shared" si="0"/>
        <v>-1341.2307692307693</v>
      </c>
      <c r="E9" s="1">
        <f t="shared" si="1"/>
        <v>0.30209677419354841</v>
      </c>
      <c r="F9" s="1">
        <f t="shared" si="2"/>
        <v>-2.2523847582680255E-4</v>
      </c>
      <c r="G9" s="1">
        <f t="shared" si="3"/>
        <v>-179.23908421641056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</row>
    <row r="10" spans="1:46" x14ac:dyDescent="0.35">
      <c r="A10" s="1">
        <v>10</v>
      </c>
      <c r="B10" s="2">
        <v>-3.3119999999999998</v>
      </c>
      <c r="C10" s="4">
        <v>0</v>
      </c>
      <c r="D10" s="1">
        <f t="shared" si="0"/>
        <v>-1528.6153846153845</v>
      </c>
      <c r="E10" s="1">
        <f t="shared" si="1"/>
        <v>0</v>
      </c>
      <c r="F10" s="1">
        <f t="shared" si="2"/>
        <v>0</v>
      </c>
      <c r="G10" s="1">
        <f t="shared" si="3"/>
        <v>0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</row>
    <row r="11" spans="1:46" x14ac:dyDescent="0.35">
      <c r="A11" s="1">
        <v>11</v>
      </c>
      <c r="B11" s="2">
        <v>-3.5619999999999998</v>
      </c>
      <c r="C11" s="4">
        <v>-156.19999999999999</v>
      </c>
      <c r="D11" s="1">
        <f t="shared" si="0"/>
        <v>-1643.9999999999998</v>
      </c>
      <c r="E11" s="1">
        <f t="shared" si="1"/>
        <v>-0.2519354838709677</v>
      </c>
      <c r="F11" s="1">
        <f t="shared" si="2"/>
        <v>1.5324542814535751E-4</v>
      </c>
      <c r="G11" s="1">
        <f t="shared" si="3"/>
        <v>121.94883711718442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</row>
    <row r="12" spans="1:46" x14ac:dyDescent="0.35">
      <c r="A12" s="1">
        <v>12</v>
      </c>
      <c r="B12" s="2">
        <v>-3.718</v>
      </c>
      <c r="C12" s="4">
        <v>-445.3</v>
      </c>
      <c r="D12" s="1">
        <f t="shared" si="0"/>
        <v>-1716</v>
      </c>
      <c r="E12" s="1">
        <f t="shared" si="1"/>
        <v>-0.71822580645161294</v>
      </c>
      <c r="F12" s="1">
        <f t="shared" si="2"/>
        <v>4.185465072561847E-4</v>
      </c>
      <c r="G12" s="1">
        <f t="shared" si="3"/>
        <v>333.06872809893474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</row>
    <row r="13" spans="1:46" x14ac:dyDescent="0.35">
      <c r="A13" s="1">
        <v>13</v>
      </c>
      <c r="B13" s="2">
        <v>-3.8119999999999998</v>
      </c>
      <c r="C13" s="4">
        <v>-765.6</v>
      </c>
      <c r="D13" s="1">
        <f t="shared" si="0"/>
        <v>-1759.3846153846152</v>
      </c>
      <c r="E13" s="1">
        <f t="shared" si="1"/>
        <v>-1.2348387096774194</v>
      </c>
      <c r="F13" s="1">
        <f t="shared" si="2"/>
        <v>7.0185830822868365E-4</v>
      </c>
      <c r="G13" s="1">
        <f t="shared" si="3"/>
        <v>558.52109616175392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</row>
    <row r="14" spans="1:46" x14ac:dyDescent="0.35">
      <c r="A14" s="1">
        <v>14</v>
      </c>
      <c r="B14" s="2">
        <v>-4.0620000000000003</v>
      </c>
      <c r="C14" s="4">
        <v>-804.6</v>
      </c>
      <c r="D14" s="1">
        <f t="shared" si="0"/>
        <v>-1874.7692307692309</v>
      </c>
      <c r="E14" s="1">
        <f t="shared" si="1"/>
        <v>-1.2977419354838711</v>
      </c>
      <c r="F14" s="1">
        <f t="shared" si="2"/>
        <v>6.92214227855339E-4</v>
      </c>
      <c r="G14" s="1">
        <f t="shared" si="3"/>
        <v>550.84658083801776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</row>
    <row r="15" spans="1:46" x14ac:dyDescent="0.35">
      <c r="A15" s="1">
        <v>15</v>
      </c>
      <c r="B15" s="2">
        <v>-4.4059999999999997</v>
      </c>
      <c r="C15" s="4">
        <v>-828.1</v>
      </c>
      <c r="D15" s="1">
        <f t="shared" si="0"/>
        <v>-2033.5384615384614</v>
      </c>
      <c r="E15" s="1">
        <f t="shared" si="1"/>
        <v>-1.3356451612903226</v>
      </c>
      <c r="F15" s="1">
        <f t="shared" si="2"/>
        <v>6.5680840886572084E-4</v>
      </c>
      <c r="G15" s="1">
        <f t="shared" si="3"/>
        <v>522.67152527375004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</row>
    <row r="16" spans="1:46" x14ac:dyDescent="0.35">
      <c r="A16" s="1">
        <v>16</v>
      </c>
      <c r="B16" s="2">
        <v>-3.5619999999999998</v>
      </c>
      <c r="C16" s="4">
        <v>-804.6</v>
      </c>
      <c r="D16" s="1">
        <f t="shared" si="0"/>
        <v>-1643.9999999999998</v>
      </c>
      <c r="E16" s="1">
        <f t="shared" si="1"/>
        <v>-1.2977419354838711</v>
      </c>
      <c r="F16" s="1">
        <f t="shared" si="2"/>
        <v>7.8938073934542051E-4</v>
      </c>
      <c r="G16" s="1">
        <f t="shared" si="3"/>
        <v>628.16923395958145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</row>
    <row r="17" spans="1:46" x14ac:dyDescent="0.35">
      <c r="A17" s="1">
        <v>17</v>
      </c>
      <c r="B17" s="2">
        <v>-2.718</v>
      </c>
      <c r="C17" s="4">
        <v>-773.4</v>
      </c>
      <c r="D17" s="1">
        <f t="shared" si="0"/>
        <v>-1254.4615384615383</v>
      </c>
      <c r="E17" s="1">
        <f t="shared" si="1"/>
        <v>-1.2474193548387098</v>
      </c>
      <c r="F17" s="1">
        <f t="shared" si="2"/>
        <v>9.9438628972916545E-4</v>
      </c>
      <c r="G17" s="1">
        <f t="shared" si="3"/>
        <v>791.30746767023209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</row>
    <row r="18" spans="1:46" x14ac:dyDescent="0.35">
      <c r="A18" s="1">
        <v>18</v>
      </c>
      <c r="B18" s="2">
        <v>-1.875</v>
      </c>
      <c r="C18" s="4">
        <v>-742.1</v>
      </c>
      <c r="D18" s="1">
        <f t="shared" si="0"/>
        <v>-865.38461538461536</v>
      </c>
      <c r="E18" s="1">
        <f t="shared" si="1"/>
        <v>-1.1969354838709676</v>
      </c>
      <c r="F18" s="1">
        <f t="shared" si="2"/>
        <v>1.3831254480286736E-3</v>
      </c>
      <c r="G18" s="1">
        <f t="shared" si="3"/>
        <v>1100.6562611074623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</row>
    <row r="19" spans="1:46" x14ac:dyDescent="0.35">
      <c r="A19" s="1">
        <v>19</v>
      </c>
      <c r="B19" s="2">
        <v>-0.84399999999999997</v>
      </c>
      <c r="C19" s="4">
        <v>-695.3</v>
      </c>
      <c r="D19" s="1">
        <f t="shared" si="0"/>
        <v>-389.53846153846149</v>
      </c>
      <c r="E19" s="1">
        <f t="shared" si="1"/>
        <v>-1.1214516129032259</v>
      </c>
      <c r="F19" s="1">
        <f t="shared" si="2"/>
        <v>2.8789239667736848E-3</v>
      </c>
      <c r="G19" s="1">
        <f t="shared" si="3"/>
        <v>2290.9749031066176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</row>
    <row r="20" spans="1:46" x14ac:dyDescent="0.35">
      <c r="A20" s="1">
        <v>20</v>
      </c>
      <c r="B20" s="2">
        <v>0</v>
      </c>
      <c r="C20" s="4">
        <v>-640.6</v>
      </c>
      <c r="D20" s="1">
        <f t="shared" si="0"/>
        <v>0</v>
      </c>
      <c r="E20" s="1">
        <f t="shared" si="1"/>
        <v>-1.0332258064516129</v>
      </c>
      <c r="F20" s="1" t="e">
        <f t="shared" si="2"/>
        <v>#DIV/0!</v>
      </c>
      <c r="G20" s="1" t="e">
        <f t="shared" si="3"/>
        <v>#DIV/0!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</row>
    <row r="21" spans="1:46" x14ac:dyDescent="0.35">
      <c r="A21" s="1">
        <v>21</v>
      </c>
      <c r="B21" s="2">
        <v>1.093</v>
      </c>
      <c r="C21" s="4">
        <v>-539</v>
      </c>
      <c r="D21" s="1">
        <f t="shared" si="0"/>
        <v>504.4615384615384</v>
      </c>
      <c r="E21" s="1">
        <f t="shared" si="1"/>
        <v>-0.86935483870967734</v>
      </c>
      <c r="F21" s="1">
        <f t="shared" si="2"/>
        <v>-1.7233322511780737E-3</v>
      </c>
      <c r="G21" s="1">
        <f t="shared" si="3"/>
        <v>-1371.3842333904061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</row>
    <row r="22" spans="1:46" x14ac:dyDescent="0.35">
      <c r="A22" s="1">
        <v>22</v>
      </c>
      <c r="B22" s="2">
        <v>1.8120000000000001</v>
      </c>
      <c r="C22" s="4">
        <v>-437.5</v>
      </c>
      <c r="D22" s="1">
        <f t="shared" si="0"/>
        <v>836.30769230769226</v>
      </c>
      <c r="E22" s="1">
        <f t="shared" si="1"/>
        <v>-0.70564516129032262</v>
      </c>
      <c r="F22" s="1">
        <f t="shared" si="2"/>
        <v>-8.4376261007856825E-4</v>
      </c>
      <c r="G22" s="1">
        <f t="shared" si="3"/>
        <v>-671.44495171785582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</row>
    <row r="23" spans="1:46" x14ac:dyDescent="0.35">
      <c r="A23" s="1">
        <v>23</v>
      </c>
      <c r="B23" s="2">
        <v>2.4060000000000001</v>
      </c>
      <c r="C23" s="4">
        <v>-320.3</v>
      </c>
      <c r="D23" s="1">
        <f t="shared" si="0"/>
        <v>1110.4615384615386</v>
      </c>
      <c r="E23" s="1">
        <f t="shared" si="1"/>
        <v>-0.51661290322580644</v>
      </c>
      <c r="F23" s="1">
        <f t="shared" si="2"/>
        <v>-4.6522358977109195E-4</v>
      </c>
      <c r="G23" s="1">
        <f t="shared" si="3"/>
        <v>-370.21317019815729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</row>
    <row r="24" spans="1:46" x14ac:dyDescent="0.35">
      <c r="A24" s="1">
        <v>24</v>
      </c>
      <c r="B24" s="2">
        <v>2.968</v>
      </c>
      <c r="C24" s="4">
        <v>-171.8</v>
      </c>
      <c r="D24" s="1">
        <f t="shared" si="0"/>
        <v>1369.8461538461538</v>
      </c>
      <c r="E24" s="1">
        <f t="shared" si="1"/>
        <v>-0.27709677419354839</v>
      </c>
      <c r="F24" s="1">
        <f t="shared" si="2"/>
        <v>-2.0228313479987248E-4</v>
      </c>
      <c r="G24" s="1">
        <f t="shared" si="3"/>
        <v>-160.97180422155662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</row>
    <row r="25" spans="1:46" x14ac:dyDescent="0.35">
      <c r="A25" s="1">
        <v>25</v>
      </c>
      <c r="B25" s="2">
        <v>3.343</v>
      </c>
      <c r="C25" s="4">
        <v>0</v>
      </c>
      <c r="D25" s="1">
        <f t="shared" si="0"/>
        <v>1542.9230769230769</v>
      </c>
      <c r="E25" s="1">
        <f t="shared" si="1"/>
        <v>0</v>
      </c>
      <c r="F25" s="1">
        <f t="shared" si="2"/>
        <v>0</v>
      </c>
      <c r="G25" s="1">
        <f t="shared" si="3"/>
        <v>0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</row>
    <row r="26" spans="1:46" x14ac:dyDescent="0.35">
      <c r="A26" s="1">
        <v>26</v>
      </c>
      <c r="B26" s="2">
        <v>3.593</v>
      </c>
      <c r="C26" s="4">
        <v>187.5</v>
      </c>
      <c r="D26" s="1">
        <f t="shared" si="0"/>
        <v>1658.3076923076924</v>
      </c>
      <c r="E26" s="1">
        <f t="shared" si="1"/>
        <v>0.30241935483870963</v>
      </c>
      <c r="F26" s="1">
        <f t="shared" si="2"/>
        <v>1.8236624978677175E-4</v>
      </c>
      <c r="G26" s="1">
        <f t="shared" si="3"/>
        <v>145.12245069930674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</row>
    <row r="27" spans="1:46" x14ac:dyDescent="0.35">
      <c r="A27" s="1">
        <v>27</v>
      </c>
      <c r="B27" s="2">
        <v>3.718</v>
      </c>
      <c r="C27" s="4">
        <v>429.6</v>
      </c>
      <c r="D27" s="1">
        <f t="shared" si="0"/>
        <v>1716</v>
      </c>
      <c r="E27" s="1">
        <f t="shared" si="1"/>
        <v>0.69290322580645169</v>
      </c>
      <c r="F27" s="1">
        <f t="shared" si="2"/>
        <v>4.0378975862846836E-4</v>
      </c>
      <c r="G27" s="1">
        <f t="shared" si="3"/>
        <v>321.32568064518836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</row>
    <row r="28" spans="1:46" x14ac:dyDescent="0.35">
      <c r="A28" s="1">
        <v>28</v>
      </c>
      <c r="B28" s="2">
        <v>3.7810000000000001</v>
      </c>
      <c r="C28" s="4">
        <v>765.6</v>
      </c>
      <c r="D28" s="1">
        <f t="shared" si="0"/>
        <v>1745.0769230769229</v>
      </c>
      <c r="E28" s="1">
        <f t="shared" si="1"/>
        <v>1.2348387096774194</v>
      </c>
      <c r="F28" s="1">
        <f t="shared" si="2"/>
        <v>7.0761276671984716E-4</v>
      </c>
      <c r="G28" s="1">
        <f t="shared" si="3"/>
        <v>563.10034873541542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</row>
    <row r="29" spans="1:46" x14ac:dyDescent="0.35">
      <c r="A29" s="1">
        <v>29</v>
      </c>
      <c r="B29" s="2">
        <v>3.9060000000000001</v>
      </c>
      <c r="C29" s="4">
        <v>796.8</v>
      </c>
      <c r="D29" s="1">
        <f t="shared" si="0"/>
        <v>1802.7692307692307</v>
      </c>
      <c r="E29" s="1">
        <f t="shared" si="1"/>
        <v>1.2851612903225806</v>
      </c>
      <c r="F29" s="1">
        <f t="shared" si="2"/>
        <v>7.1288175346447978E-4</v>
      </c>
      <c r="G29" s="1">
        <f t="shared" si="3"/>
        <v>567.29327516767637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</row>
    <row r="30" spans="1:46" x14ac:dyDescent="0.35">
      <c r="A30" s="1">
        <v>30</v>
      </c>
      <c r="B30" s="2">
        <v>4.1559999999999997</v>
      </c>
      <c r="C30" s="4">
        <v>820.3</v>
      </c>
      <c r="D30" s="1">
        <f t="shared" si="0"/>
        <v>1918.153846153846</v>
      </c>
      <c r="E30" s="1">
        <f t="shared" si="1"/>
        <v>1.3230645161290322</v>
      </c>
      <c r="F30" s="1">
        <f t="shared" si="2"/>
        <v>6.8975933227772776E-4</v>
      </c>
      <c r="G30" s="1">
        <f t="shared" si="3"/>
        <v>548.8930370060292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</row>
    <row r="31" spans="1:46" x14ac:dyDescent="0.35">
      <c r="A31" s="1"/>
      <c r="B31" s="2"/>
      <c r="C31" s="4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</row>
    <row r="32" spans="1:46" x14ac:dyDescent="0.35">
      <c r="A32" s="1"/>
      <c r="B32" s="2"/>
      <c r="C32" s="4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</row>
    <row r="33" spans="1:46" x14ac:dyDescent="0.35">
      <c r="A33" s="1"/>
      <c r="B33" s="2"/>
      <c r="C33" s="4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</row>
    <row r="34" spans="1:46" x14ac:dyDescent="0.35">
      <c r="A34" s="1"/>
      <c r="B34" s="2"/>
      <c r="C34" s="4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</row>
    <row r="35" spans="1:46" x14ac:dyDescent="0.35">
      <c r="A35" s="1"/>
      <c r="B35" s="2"/>
      <c r="C35" s="4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</row>
    <row r="36" spans="1:46" x14ac:dyDescent="0.35">
      <c r="A36" s="1"/>
      <c r="B36" s="2"/>
      <c r="C36" s="4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</row>
    <row r="37" spans="1:46" x14ac:dyDescent="0.35">
      <c r="A37" s="1"/>
      <c r="B37" s="2"/>
      <c r="C37" s="4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</row>
    <row r="38" spans="1:46" x14ac:dyDescent="0.35">
      <c r="A38" s="1"/>
      <c r="B38" s="2"/>
      <c r="C38" s="4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</row>
    <row r="39" spans="1:46" x14ac:dyDescent="0.35">
      <c r="A39" s="1"/>
      <c r="B39" s="2"/>
      <c r="C39" s="4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</row>
    <row r="40" spans="1:46" x14ac:dyDescent="0.35">
      <c r="A40" s="1"/>
      <c r="B40" s="2"/>
      <c r="C40" s="4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</row>
    <row r="41" spans="1:46" x14ac:dyDescent="0.35">
      <c r="A41" s="1"/>
      <c r="B41" s="2"/>
      <c r="C41" s="4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</row>
    <row r="42" spans="1:46" x14ac:dyDescent="0.35">
      <c r="A42" s="1"/>
      <c r="B42" s="2"/>
      <c r="C42" s="4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</row>
    <row r="43" spans="1:46" x14ac:dyDescent="0.35">
      <c r="A43" s="1"/>
      <c r="B43" s="2"/>
      <c r="C43" s="4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</row>
    <row r="44" spans="1:46" x14ac:dyDescent="0.35">
      <c r="A44" s="1"/>
      <c r="B44" s="2"/>
      <c r="C44" s="4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</row>
    <row r="45" spans="1:46" x14ac:dyDescent="0.35">
      <c r="A45" s="1"/>
      <c r="B45" s="2"/>
      <c r="C45" s="4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</row>
    <row r="46" spans="1:46" x14ac:dyDescent="0.35">
      <c r="A46" s="1"/>
      <c r="B46" s="2"/>
      <c r="C46" s="4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</row>
    <row r="47" spans="1:46" x14ac:dyDescent="0.35">
      <c r="A47" s="1"/>
      <c r="B47" s="2"/>
      <c r="C47" s="4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</row>
    <row r="48" spans="1:46" x14ac:dyDescent="0.35">
      <c r="A48" s="1"/>
      <c r="B48" s="2"/>
      <c r="C48" s="4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</row>
    <row r="49" spans="1:46" x14ac:dyDescent="0.35">
      <c r="A49" s="1"/>
      <c r="B49" s="2"/>
      <c r="C49" s="4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</row>
    <row r="50" spans="1:46" x14ac:dyDescent="0.35">
      <c r="A50" s="1"/>
      <c r="B50" s="2"/>
      <c r="C50" s="4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</row>
    <row r="51" spans="1:46" x14ac:dyDescent="0.35">
      <c r="A51" s="1"/>
      <c r="B51" s="2"/>
      <c r="C51" s="4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</row>
    <row r="52" spans="1:46" x14ac:dyDescent="0.35">
      <c r="A52" s="1"/>
      <c r="B52" s="2"/>
      <c r="C52" s="4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</row>
    <row r="53" spans="1:46" x14ac:dyDescent="0.35">
      <c r="A53" s="1"/>
      <c r="B53" s="2"/>
      <c r="C53" s="4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</row>
    <row r="54" spans="1:46" x14ac:dyDescent="0.35">
      <c r="A54" s="1"/>
      <c r="B54" s="2"/>
      <c r="C54" s="4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</row>
    <row r="55" spans="1:46" x14ac:dyDescent="0.35">
      <c r="A55" s="1"/>
      <c r="B55" s="2"/>
      <c r="C55" s="4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</row>
    <row r="56" spans="1:46" x14ac:dyDescent="0.35">
      <c r="A56" s="1"/>
      <c r="B56" s="2"/>
      <c r="C56" s="4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</row>
    <row r="57" spans="1:46" x14ac:dyDescent="0.35">
      <c r="A57" s="1"/>
      <c r="B57" s="2"/>
      <c r="C57" s="4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</row>
    <row r="58" spans="1:46" x14ac:dyDescent="0.35">
      <c r="A58" s="1"/>
      <c r="B58" s="2"/>
      <c r="C58" s="4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</row>
    <row r="59" spans="1:46" x14ac:dyDescent="0.35">
      <c r="A59" s="1"/>
      <c r="B59" s="2"/>
      <c r="C59" s="4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</row>
    <row r="60" spans="1:46" x14ac:dyDescent="0.35">
      <c r="A60" s="1"/>
      <c r="B60" s="2"/>
      <c r="C60" s="4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</row>
    <row r="61" spans="1:46" x14ac:dyDescent="0.35">
      <c r="A61" s="1"/>
      <c r="B61" s="2"/>
      <c r="C61" s="4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</row>
    <row r="62" spans="1:46" x14ac:dyDescent="0.35">
      <c r="A62" s="1"/>
      <c r="B62" s="2"/>
      <c r="C62" s="4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</row>
    <row r="63" spans="1:46" x14ac:dyDescent="0.35">
      <c r="A63" s="1"/>
      <c r="B63" s="2"/>
      <c r="C63" s="4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</row>
    <row r="64" spans="1:46" x14ac:dyDescent="0.35">
      <c r="A64" s="1"/>
      <c r="B64" s="2"/>
      <c r="C64" s="4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</row>
    <row r="65" spans="1:46" x14ac:dyDescent="0.35">
      <c r="A65" s="1"/>
      <c r="B65" s="2"/>
      <c r="C65" s="4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</row>
    <row r="66" spans="1:46" x14ac:dyDescent="0.35">
      <c r="A66" s="1"/>
      <c r="B66" s="2"/>
      <c r="C66" s="4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</row>
    <row r="67" spans="1:46" x14ac:dyDescent="0.35">
      <c r="A67" s="1"/>
      <c r="B67" s="2"/>
      <c r="C67" s="4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</row>
    <row r="68" spans="1:46" x14ac:dyDescent="0.35">
      <c r="A68" s="1"/>
      <c r="B68" s="2"/>
      <c r="C68" s="4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</row>
    <row r="69" spans="1:46" x14ac:dyDescent="0.35">
      <c r="A69" s="1"/>
      <c r="B69" s="2"/>
      <c r="C69" s="4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</row>
    <row r="70" spans="1:46" x14ac:dyDescent="0.35">
      <c r="A70" s="1"/>
      <c r="B70" s="2"/>
      <c r="C70" s="4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</row>
    <row r="71" spans="1:46" x14ac:dyDescent="0.35">
      <c r="A71" s="1"/>
      <c r="B71" s="2"/>
      <c r="C71" s="4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</row>
    <row r="72" spans="1:46" x14ac:dyDescent="0.35">
      <c r="A72" s="1"/>
      <c r="B72" s="2"/>
      <c r="C72" s="4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</row>
    <row r="73" spans="1:46" x14ac:dyDescent="0.35">
      <c r="A73" s="1"/>
      <c r="B73" s="2"/>
      <c r="C73" s="4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</row>
    <row r="74" spans="1:46" x14ac:dyDescent="0.35">
      <c r="A74" s="1"/>
      <c r="B74" s="2"/>
      <c r="C74" s="4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</row>
    <row r="75" spans="1:46" x14ac:dyDescent="0.35">
      <c r="A75" s="1"/>
      <c r="B75" s="2"/>
      <c r="C75" s="4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</row>
    <row r="76" spans="1:46" x14ac:dyDescent="0.35">
      <c r="A76" s="1"/>
      <c r="B76" s="2"/>
      <c r="C76" s="4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</row>
    <row r="77" spans="1:46" x14ac:dyDescent="0.35">
      <c r="A77" s="1"/>
      <c r="B77" s="2"/>
      <c r="C77" s="4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</row>
    <row r="78" spans="1:46" x14ac:dyDescent="0.35">
      <c r="A78" s="1"/>
      <c r="B78" s="2"/>
      <c r="C78" s="4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</row>
    <row r="79" spans="1:46" x14ac:dyDescent="0.35">
      <c r="A79" s="1"/>
      <c r="B79" s="2"/>
      <c r="C79" s="4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</row>
    <row r="80" spans="1:46" x14ac:dyDescent="0.35">
      <c r="A80" s="1"/>
      <c r="B80" s="2"/>
      <c r="C80" s="4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</row>
    <row r="81" spans="1:46" x14ac:dyDescent="0.35">
      <c r="A81" s="1"/>
      <c r="B81" s="2"/>
      <c r="C81" s="4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</row>
    <row r="82" spans="1:46" x14ac:dyDescent="0.35">
      <c r="A82" s="1"/>
      <c r="B82" s="2"/>
      <c r="C82" s="4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</row>
    <row r="83" spans="1:46" x14ac:dyDescent="0.35">
      <c r="A83" s="1"/>
      <c r="B83" s="2"/>
      <c r="C83" s="4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</row>
    <row r="84" spans="1:46" x14ac:dyDescent="0.35">
      <c r="A84" s="1"/>
      <c r="B84" s="2"/>
      <c r="C84" s="4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</row>
    <row r="85" spans="1:46" x14ac:dyDescent="0.35">
      <c r="A85" s="1"/>
      <c r="B85" s="2"/>
      <c r="C85" s="4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</row>
    <row r="86" spans="1:46" x14ac:dyDescent="0.35">
      <c r="A86" s="1"/>
      <c r="B86" s="2"/>
      <c r="C86" s="4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</row>
    <row r="87" spans="1:46" x14ac:dyDescent="0.35">
      <c r="A87" s="1"/>
      <c r="B87" s="2"/>
      <c r="C87" s="4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</row>
    <row r="88" spans="1:46" x14ac:dyDescent="0.35">
      <c r="A88" s="1"/>
      <c r="B88" s="2"/>
      <c r="C88" s="4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</row>
    <row r="89" spans="1:46" x14ac:dyDescent="0.35">
      <c r="A89" s="1"/>
      <c r="B89" s="2"/>
      <c r="C89" s="4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</row>
    <row r="90" spans="1:46" x14ac:dyDescent="0.35">
      <c r="A90" s="1"/>
      <c r="B90" s="2"/>
      <c r="C90" s="4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</row>
    <row r="91" spans="1:46" x14ac:dyDescent="0.35">
      <c r="A91" s="1"/>
      <c r="B91" s="2"/>
      <c r="C91" s="4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</row>
    <row r="92" spans="1:46" x14ac:dyDescent="0.35">
      <c r="A92" s="1"/>
      <c r="B92" s="2"/>
      <c r="C92" s="4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</row>
    <row r="93" spans="1:46" x14ac:dyDescent="0.35">
      <c r="A93" s="1"/>
      <c r="B93" s="2"/>
      <c r="C93" s="4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</row>
    <row r="94" spans="1:46" x14ac:dyDescent="0.35">
      <c r="A94" s="1"/>
      <c r="B94" s="2"/>
      <c r="C94" s="4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</row>
    <row r="95" spans="1:46" x14ac:dyDescent="0.35">
      <c r="A95" s="1"/>
      <c r="B95" s="2"/>
      <c r="C95" s="4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</row>
    <row r="96" spans="1:46" x14ac:dyDescent="0.35">
      <c r="A96" s="1"/>
      <c r="B96" s="2"/>
      <c r="C96" s="4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</row>
    <row r="97" spans="1:46" x14ac:dyDescent="0.35">
      <c r="A97" s="1"/>
      <c r="B97" s="2"/>
      <c r="C97" s="4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</row>
    <row r="98" spans="1:46" x14ac:dyDescent="0.35">
      <c r="A98" s="1"/>
      <c r="B98" s="2"/>
      <c r="C98" s="4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</row>
    <row r="99" spans="1:46" x14ac:dyDescent="0.35">
      <c r="A99" s="1"/>
      <c r="B99" s="2"/>
      <c r="C99" s="4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</row>
    <row r="100" spans="1:46" x14ac:dyDescent="0.35">
      <c r="A100" s="1"/>
      <c r="B100" s="2"/>
      <c r="C100" s="4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</row>
    <row r="101" spans="1:46" x14ac:dyDescent="0.35">
      <c r="A101" s="1"/>
      <c r="B101" s="2"/>
      <c r="C101" s="4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</row>
    <row r="102" spans="1:46" x14ac:dyDescent="0.35">
      <c r="A102" s="1"/>
      <c r="B102" s="2"/>
      <c r="C102" s="4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</row>
    <row r="103" spans="1:46" x14ac:dyDescent="0.35">
      <c r="A103" s="1"/>
      <c r="B103" s="2"/>
      <c r="C103" s="4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</row>
    <row r="104" spans="1:46" x14ac:dyDescent="0.35">
      <c r="A104" s="1"/>
      <c r="B104" s="2"/>
      <c r="C104" s="4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</row>
    <row r="105" spans="1:46" x14ac:dyDescent="0.35">
      <c r="A105" s="1"/>
      <c r="B105" s="2"/>
      <c r="C105" s="4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</row>
    <row r="106" spans="1:46" x14ac:dyDescent="0.35">
      <c r="A106" s="1"/>
      <c r="B106" s="2"/>
      <c r="C106" s="4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</row>
    <row r="107" spans="1:46" x14ac:dyDescent="0.35">
      <c r="A107" s="1"/>
      <c r="B107" s="2"/>
      <c r="C107" s="4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</row>
    <row r="108" spans="1:46" x14ac:dyDescent="0.35">
      <c r="A108" s="1"/>
      <c r="B108" s="2"/>
      <c r="C108" s="4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</row>
    <row r="109" spans="1:46" x14ac:dyDescent="0.35">
      <c r="A109" s="1"/>
      <c r="B109" s="2"/>
      <c r="C109" s="4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</row>
    <row r="110" spans="1:46" x14ac:dyDescent="0.35">
      <c r="A110" s="1"/>
      <c r="B110" s="2"/>
      <c r="C110" s="4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</row>
    <row r="111" spans="1:46" x14ac:dyDescent="0.35">
      <c r="A111" s="1"/>
      <c r="B111" s="2"/>
      <c r="C111" s="4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</row>
    <row r="112" spans="1:46" x14ac:dyDescent="0.35">
      <c r="A112" s="1"/>
      <c r="B112" s="2"/>
      <c r="C112" s="4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</row>
    <row r="113" spans="1:46" x14ac:dyDescent="0.35">
      <c r="A113" s="1"/>
      <c r="B113" s="2"/>
      <c r="C113" s="4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</row>
    <row r="114" spans="1:46" x14ac:dyDescent="0.35">
      <c r="A114" s="1"/>
      <c r="B114" s="2"/>
      <c r="C114" s="4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</row>
    <row r="115" spans="1:46" x14ac:dyDescent="0.35">
      <c r="A115" s="1"/>
      <c r="B115" s="2"/>
      <c r="C115" s="4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</row>
    <row r="116" spans="1:46" x14ac:dyDescent="0.35">
      <c r="A116" s="1"/>
      <c r="B116" s="2"/>
      <c r="C116" s="4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</row>
    <row r="117" spans="1:46" x14ac:dyDescent="0.35">
      <c r="A117" s="1"/>
      <c r="B117" s="2"/>
      <c r="C117" s="4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</row>
    <row r="118" spans="1:46" x14ac:dyDescent="0.35">
      <c r="A118" s="1"/>
      <c r="B118" s="2"/>
      <c r="C118" s="4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</row>
    <row r="119" spans="1:46" x14ac:dyDescent="0.35">
      <c r="A119" s="1"/>
      <c r="B119" s="2"/>
      <c r="C119" s="4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</row>
    <row r="120" spans="1:46" x14ac:dyDescent="0.35">
      <c r="A120" s="1"/>
      <c r="B120" s="2"/>
      <c r="C120" s="4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</row>
    <row r="121" spans="1:46" x14ac:dyDescent="0.35">
      <c r="A121" s="1"/>
      <c r="B121" s="2"/>
      <c r="C121" s="4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</row>
    <row r="122" spans="1:46" x14ac:dyDescent="0.35">
      <c r="A122" s="1"/>
      <c r="B122" s="2"/>
      <c r="C122" s="4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</row>
    <row r="123" spans="1:46" x14ac:dyDescent="0.35">
      <c r="A123" s="1"/>
      <c r="B123" s="2"/>
      <c r="C123" s="4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</row>
    <row r="124" spans="1:46" x14ac:dyDescent="0.35">
      <c r="A124" s="1"/>
      <c r="B124" s="2"/>
      <c r="C124" s="4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</row>
    <row r="125" spans="1:46" x14ac:dyDescent="0.35">
      <c r="A125" s="1"/>
      <c r="B125" s="2"/>
      <c r="C125" s="4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</row>
    <row r="126" spans="1:46" x14ac:dyDescent="0.35">
      <c r="A126" s="1"/>
      <c r="B126" s="2"/>
      <c r="C126" s="4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</row>
    <row r="127" spans="1:46" x14ac:dyDescent="0.35">
      <c r="A127" s="1"/>
      <c r="B127" s="2"/>
      <c r="C127" s="4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</row>
    <row r="128" spans="1:46" x14ac:dyDescent="0.35">
      <c r="A128" s="1"/>
      <c r="B128" s="2"/>
      <c r="C128" s="4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</row>
    <row r="129" spans="1:46" x14ac:dyDescent="0.35">
      <c r="A129" s="1"/>
      <c r="B129" s="2"/>
      <c r="C129" s="4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</row>
    <row r="130" spans="1:46" x14ac:dyDescent="0.35">
      <c r="A130" s="1"/>
      <c r="B130" s="2"/>
      <c r="C130" s="4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</row>
    <row r="131" spans="1:46" x14ac:dyDescent="0.35">
      <c r="A131" s="1"/>
      <c r="B131" s="2"/>
      <c r="C131" s="4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</row>
    <row r="132" spans="1:46" x14ac:dyDescent="0.35">
      <c r="A132" s="1"/>
      <c r="B132" s="2"/>
      <c r="C132" s="4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</row>
    <row r="133" spans="1:46" x14ac:dyDescent="0.35">
      <c r="A133" s="1"/>
      <c r="B133" s="2"/>
      <c r="C133" s="4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</row>
    <row r="134" spans="1:46" x14ac:dyDescent="0.35">
      <c r="A134" s="1"/>
      <c r="B134" s="2"/>
      <c r="C134" s="4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</row>
    <row r="135" spans="1:46" x14ac:dyDescent="0.35">
      <c r="A135" s="1"/>
      <c r="B135" s="2"/>
      <c r="C135" s="4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</row>
    <row r="136" spans="1:46" x14ac:dyDescent="0.35">
      <c r="A136" s="1"/>
      <c r="B136" s="2"/>
      <c r="C136" s="4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</row>
    <row r="137" spans="1:46" x14ac:dyDescent="0.35">
      <c r="A137" s="1"/>
      <c r="B137" s="2"/>
      <c r="C137" s="4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</row>
    <row r="138" spans="1:46" x14ac:dyDescent="0.35">
      <c r="A138" s="1"/>
      <c r="B138" s="2"/>
      <c r="C138" s="4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</row>
    <row r="139" spans="1:46" x14ac:dyDescent="0.35">
      <c r="A139" s="1"/>
      <c r="B139" s="2"/>
      <c r="C139" s="4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</row>
    <row r="140" spans="1:46" x14ac:dyDescent="0.35">
      <c r="A140" s="1"/>
      <c r="B140" s="2"/>
      <c r="C140" s="4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</row>
    <row r="141" spans="1:46" x14ac:dyDescent="0.35">
      <c r="A141" s="1"/>
      <c r="B141" s="2"/>
      <c r="C141" s="4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</row>
    <row r="142" spans="1:46" x14ac:dyDescent="0.35">
      <c r="A142" s="1"/>
      <c r="B142" s="2"/>
      <c r="C142" s="4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</row>
    <row r="143" spans="1:46" x14ac:dyDescent="0.35">
      <c r="A143" s="1"/>
      <c r="B143" s="2"/>
      <c r="C143" s="4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</row>
    <row r="144" spans="1:46" x14ac:dyDescent="0.35">
      <c r="A144" s="1"/>
      <c r="B144" s="2"/>
      <c r="C144" s="4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</row>
    <row r="145" spans="1:46" x14ac:dyDescent="0.35">
      <c r="A145" s="1"/>
      <c r="B145" s="2"/>
      <c r="C145" s="4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</row>
    <row r="146" spans="1:46" x14ac:dyDescent="0.35">
      <c r="A146" s="1"/>
      <c r="B146" s="2"/>
      <c r="C146" s="4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</row>
    <row r="147" spans="1:46" x14ac:dyDescent="0.35">
      <c r="A147" s="1"/>
      <c r="B147" s="2"/>
      <c r="C147" s="4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</row>
    <row r="148" spans="1:46" x14ac:dyDescent="0.35">
      <c r="A148" s="1"/>
      <c r="B148" s="2"/>
      <c r="C148" s="4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</row>
    <row r="149" spans="1:46" x14ac:dyDescent="0.35">
      <c r="A149" s="1"/>
      <c r="B149" s="2"/>
      <c r="C149" s="4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</row>
    <row r="150" spans="1:46" x14ac:dyDescent="0.35">
      <c r="A150" s="1"/>
      <c r="B150" s="2"/>
      <c r="C150" s="4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</row>
    <row r="151" spans="1:46" x14ac:dyDescent="0.35">
      <c r="A151" s="1"/>
      <c r="B151" s="2"/>
      <c r="C151" s="4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</row>
    <row r="152" spans="1:46" x14ac:dyDescent="0.35">
      <c r="A152" s="1"/>
      <c r="B152" s="2"/>
      <c r="C152" s="4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</row>
    <row r="153" spans="1:46" x14ac:dyDescent="0.35">
      <c r="A153" s="1"/>
      <c r="B153" s="2"/>
      <c r="C153" s="4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</row>
    <row r="154" spans="1:46" x14ac:dyDescent="0.35">
      <c r="A154" s="1"/>
      <c r="B154" s="2"/>
      <c r="C154" s="4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</row>
    <row r="155" spans="1:46" x14ac:dyDescent="0.35">
      <c r="A155" s="1"/>
      <c r="B155" s="2"/>
      <c r="C155" s="4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</row>
    <row r="156" spans="1:46" x14ac:dyDescent="0.35">
      <c r="A156" s="1"/>
      <c r="B156" s="2"/>
      <c r="C156" s="4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</row>
    <row r="157" spans="1:46" x14ac:dyDescent="0.35">
      <c r="A157" s="1"/>
      <c r="B157" s="2"/>
      <c r="C157" s="4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</row>
    <row r="158" spans="1:46" x14ac:dyDescent="0.35">
      <c r="A158" s="1"/>
      <c r="B158" s="2"/>
      <c r="C158" s="4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</row>
    <row r="159" spans="1:46" x14ac:dyDescent="0.35">
      <c r="A159" s="1"/>
      <c r="B159" s="2"/>
      <c r="C159" s="4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</row>
    <row r="160" spans="1:46" x14ac:dyDescent="0.35">
      <c r="A160" s="1"/>
      <c r="B160" s="2"/>
      <c r="C160" s="4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</row>
    <row r="161" spans="1:46" x14ac:dyDescent="0.35">
      <c r="A161" s="1"/>
      <c r="B161" s="2"/>
      <c r="C161" s="4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</row>
    <row r="162" spans="1:46" x14ac:dyDescent="0.35">
      <c r="A162" s="1"/>
      <c r="B162" s="2"/>
      <c r="C162" s="4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</row>
    <row r="163" spans="1:46" x14ac:dyDescent="0.35">
      <c r="A163" s="1"/>
      <c r="B163" s="2"/>
      <c r="C163" s="4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</row>
    <row r="164" spans="1:46" x14ac:dyDescent="0.35">
      <c r="A164" s="1"/>
      <c r="B164" s="2"/>
      <c r="C164" s="4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</row>
    <row r="165" spans="1:46" x14ac:dyDescent="0.35">
      <c r="A165" s="1"/>
      <c r="B165" s="2"/>
      <c r="C165" s="4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54256-B27C-448A-A80F-459890A70270}">
  <dimension ref="A1:I10"/>
  <sheetViews>
    <sheetView tabSelected="1" workbookViewId="0">
      <selection activeCell="H15" sqref="H15"/>
    </sheetView>
  </sheetViews>
  <sheetFormatPr defaultRowHeight="14.15" x14ac:dyDescent="0.35"/>
  <cols>
    <col min="1" max="1" width="9.140625" style="1"/>
    <col min="2" max="2" width="9.140625" style="6"/>
    <col min="3" max="3" width="9.140625" style="2"/>
    <col min="4" max="4" width="9.140625" style="4"/>
    <col min="5" max="5" width="9.140625" style="1"/>
    <col min="6" max="6" width="16.85546875" style="1" bestFit="1" customWidth="1"/>
    <col min="7" max="7" width="15.5" style="8" customWidth="1"/>
    <col min="8" max="8" width="17.140625" style="9" bestFit="1" customWidth="1"/>
  </cols>
  <sheetData>
    <row r="1" spans="1:9" x14ac:dyDescent="0.35">
      <c r="A1" s="1">
        <v>1</v>
      </c>
      <c r="B1" s="6">
        <v>1.2</v>
      </c>
      <c r="C1" s="2">
        <v>0.73399999999999999</v>
      </c>
      <c r="D1" s="4">
        <v>197.7</v>
      </c>
      <c r="E1" s="1">
        <f>(150*C1)/(0.06*2.5)</f>
        <v>734</v>
      </c>
      <c r="F1" s="2">
        <f>(10000*0.000003*D1*0.001)/(150*0.00008)</f>
        <v>0.49425000000000002</v>
      </c>
      <c r="G1" s="2">
        <f>(F1/E1)*10000</f>
        <v>6.733651226158039</v>
      </c>
      <c r="H1" s="10">
        <f>G1/(4*3.141592653*10^(-7))/10000</f>
        <v>535.84693895052533</v>
      </c>
      <c r="I1" s="7"/>
    </row>
    <row r="2" spans="1:9" x14ac:dyDescent="0.35">
      <c r="A2" s="1">
        <v>2</v>
      </c>
      <c r="B2" s="6">
        <v>1.5</v>
      </c>
      <c r="C2" s="2">
        <v>0.90600000000000003</v>
      </c>
      <c r="D2" s="4">
        <v>260.2</v>
      </c>
      <c r="E2" s="1">
        <f t="shared" ref="E2:E10" si="0">(150*C2)/(0.06*2.5)</f>
        <v>906.00000000000011</v>
      </c>
      <c r="F2" s="2">
        <f t="shared" ref="F2:F10" si="1">(10000*0.000003*D2*0.001)/(150*0.00008)</f>
        <v>0.65050000000000008</v>
      </c>
      <c r="G2" s="2">
        <f t="shared" ref="G2:G10" si="2">(F2/E2)*10000</f>
        <v>7.1799116997792494</v>
      </c>
      <c r="H2" s="10">
        <f t="shared" ref="H2:H10" si="3">G2/(4*3.141592653*10^(-7))/10000</f>
        <v>571.3592190988652</v>
      </c>
      <c r="I2" s="7"/>
    </row>
    <row r="3" spans="1:9" x14ac:dyDescent="0.35">
      <c r="A3" s="1">
        <v>3</v>
      </c>
      <c r="B3" s="6">
        <v>1.9</v>
      </c>
      <c r="C3" s="2">
        <v>1.0780000000000001</v>
      </c>
      <c r="D3" s="4">
        <v>322.7</v>
      </c>
      <c r="E3" s="1">
        <f t="shared" si="0"/>
        <v>1078.0000000000002</v>
      </c>
      <c r="F3" s="2">
        <f t="shared" si="1"/>
        <v>0.80674999999999997</v>
      </c>
      <c r="G3" s="2">
        <f t="shared" si="2"/>
        <v>7.4837662337662314</v>
      </c>
      <c r="H3" s="10">
        <f t="shared" si="3"/>
        <v>595.53919463586101</v>
      </c>
      <c r="I3" s="7"/>
    </row>
    <row r="4" spans="1:9" x14ac:dyDescent="0.35">
      <c r="A4" s="1">
        <v>4</v>
      </c>
      <c r="B4" s="6">
        <v>2.2000000000000002</v>
      </c>
      <c r="C4" s="2">
        <v>1.2649999999999999</v>
      </c>
      <c r="D4" s="4">
        <v>385.2</v>
      </c>
      <c r="E4" s="1">
        <f t="shared" si="0"/>
        <v>1264.9999999999998</v>
      </c>
      <c r="F4" s="2">
        <f t="shared" si="1"/>
        <v>0.96300000000000019</v>
      </c>
      <c r="G4" s="2">
        <f t="shared" si="2"/>
        <v>7.6126482213438766</v>
      </c>
      <c r="H4" s="10">
        <f t="shared" si="3"/>
        <v>605.79529733703168</v>
      </c>
      <c r="I4" s="7"/>
    </row>
    <row r="5" spans="1:9" x14ac:dyDescent="0.35">
      <c r="A5" s="1">
        <v>5</v>
      </c>
      <c r="B5" s="6">
        <v>2.5</v>
      </c>
      <c r="C5" s="2">
        <v>1.468</v>
      </c>
      <c r="D5" s="4">
        <v>439.9</v>
      </c>
      <c r="E5" s="1">
        <f t="shared" si="0"/>
        <v>1468</v>
      </c>
      <c r="F5" s="2">
        <f t="shared" si="1"/>
        <v>1.09975</v>
      </c>
      <c r="G5" s="2">
        <f t="shared" si="2"/>
        <v>7.4914850136239783</v>
      </c>
      <c r="H5" s="10">
        <f t="shared" si="3"/>
        <v>596.15343562047553</v>
      </c>
      <c r="I5" s="7"/>
    </row>
    <row r="6" spans="1:9" x14ac:dyDescent="0.35">
      <c r="A6" s="1">
        <v>6</v>
      </c>
      <c r="B6" s="6">
        <v>2.8</v>
      </c>
      <c r="C6" s="2">
        <v>1.6559999999999999</v>
      </c>
      <c r="D6" s="4">
        <v>486.7</v>
      </c>
      <c r="E6" s="1">
        <f t="shared" si="0"/>
        <v>1656</v>
      </c>
      <c r="F6" s="2">
        <f t="shared" si="1"/>
        <v>1.21675</v>
      </c>
      <c r="G6" s="2">
        <f t="shared" si="2"/>
        <v>7.3475241545893724</v>
      </c>
      <c r="H6" s="10">
        <f t="shared" si="3"/>
        <v>584.6973944547683</v>
      </c>
      <c r="I6" s="7"/>
    </row>
    <row r="7" spans="1:9" x14ac:dyDescent="0.35">
      <c r="A7" s="1">
        <v>7</v>
      </c>
      <c r="B7" s="6">
        <v>3.21</v>
      </c>
      <c r="C7" s="2">
        <v>1.984</v>
      </c>
      <c r="D7" s="4">
        <v>588.29999999999995</v>
      </c>
      <c r="E7" s="1">
        <f t="shared" si="0"/>
        <v>1984.0000000000002</v>
      </c>
      <c r="F7" s="2">
        <f t="shared" si="1"/>
        <v>1.47075</v>
      </c>
      <c r="G7" s="2">
        <f t="shared" si="2"/>
        <v>7.4130544354838701</v>
      </c>
      <c r="H7" s="10">
        <f t="shared" si="3"/>
        <v>589.91212851902719</v>
      </c>
      <c r="I7" s="7"/>
    </row>
    <row r="8" spans="1:9" x14ac:dyDescent="0.35">
      <c r="A8" s="1">
        <v>8</v>
      </c>
      <c r="B8" s="6">
        <v>3.52</v>
      </c>
      <c r="C8" s="2">
        <v>2.2650000000000001</v>
      </c>
      <c r="D8" s="4">
        <v>635.20000000000005</v>
      </c>
      <c r="E8" s="1">
        <f t="shared" si="0"/>
        <v>2265</v>
      </c>
      <c r="F8" s="2">
        <f t="shared" si="1"/>
        <v>1.5880000000000003</v>
      </c>
      <c r="G8" s="2">
        <f t="shared" si="2"/>
        <v>7.011037527593821</v>
      </c>
      <c r="H8" s="10">
        <f t="shared" si="3"/>
        <v>557.9206394644109</v>
      </c>
      <c r="I8" s="7"/>
    </row>
    <row r="9" spans="1:9" x14ac:dyDescent="0.35">
      <c r="A9" s="1">
        <v>9</v>
      </c>
      <c r="B9" s="6">
        <v>3.81</v>
      </c>
      <c r="C9" s="2">
        <v>2.5779999999999998</v>
      </c>
      <c r="D9" s="4">
        <v>682.1</v>
      </c>
      <c r="E9" s="1">
        <f t="shared" si="0"/>
        <v>2578</v>
      </c>
      <c r="F9" s="2">
        <f t="shared" si="1"/>
        <v>1.7052500000000002</v>
      </c>
      <c r="G9" s="2">
        <f t="shared" si="2"/>
        <v>6.6146237393328171</v>
      </c>
      <c r="H9" s="10">
        <f t="shared" si="3"/>
        <v>526.37503250272732</v>
      </c>
      <c r="I9" s="7"/>
    </row>
    <row r="10" spans="1:9" x14ac:dyDescent="0.35">
      <c r="A10" s="1">
        <v>10</v>
      </c>
      <c r="B10" s="6">
        <v>4.1100000000000003</v>
      </c>
      <c r="C10" s="2">
        <v>2.9060000000000001</v>
      </c>
      <c r="D10" s="4">
        <v>744.6</v>
      </c>
      <c r="E10" s="1">
        <f t="shared" si="0"/>
        <v>2906.0000000000005</v>
      </c>
      <c r="F10" s="2">
        <f t="shared" si="1"/>
        <v>1.8614999999999999</v>
      </c>
      <c r="G10" s="2">
        <f t="shared" si="2"/>
        <v>6.4057123193392966</v>
      </c>
      <c r="H10" s="10">
        <f t="shared" si="3"/>
        <v>509.75038991944837</v>
      </c>
      <c r="I10" s="7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yhf216</dc:creator>
  <cp:lastModifiedBy>星 曦</cp:lastModifiedBy>
  <dcterms:created xsi:type="dcterms:W3CDTF">2015-06-05T18:19:34Z</dcterms:created>
  <dcterms:modified xsi:type="dcterms:W3CDTF">2025-12-06T08:32:34Z</dcterms:modified>
</cp:coreProperties>
</file>