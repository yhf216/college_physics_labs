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568\Desktop\studying\大二上\大学物理实验\"/>
    </mc:Choice>
  </mc:AlternateContent>
  <xr:revisionPtr revIDLastSave="0" documentId="13_ncr:1_{8CA5A2B9-4980-42EC-AC99-F1D9E6C47B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E46" i="1"/>
  <c r="D46" i="1"/>
  <c r="E45" i="1"/>
  <c r="F45" i="1" s="1"/>
  <c r="D45" i="1"/>
  <c r="E44" i="1"/>
  <c r="F44" i="1" s="1"/>
  <c r="D44" i="1"/>
  <c r="E43" i="1"/>
  <c r="F43" i="1" s="1"/>
  <c r="D43" i="1"/>
  <c r="E42" i="1"/>
  <c r="F42" i="1" s="1"/>
  <c r="D42" i="1"/>
  <c r="F41" i="1"/>
  <c r="E41" i="1"/>
  <c r="D41" i="1"/>
  <c r="E40" i="1"/>
  <c r="F40" i="1" s="1"/>
  <c r="D40" i="1"/>
  <c r="E39" i="1"/>
  <c r="F39" i="1" s="1"/>
  <c r="D39" i="1"/>
  <c r="E38" i="1"/>
  <c r="F38" i="1" s="1"/>
  <c r="D38" i="1"/>
  <c r="E37" i="1"/>
  <c r="F37" i="1" s="1"/>
  <c r="D3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</calcChain>
</file>

<file path=xl/sharedStrings.xml><?xml version="1.0" encoding="utf-8"?>
<sst xmlns="http://schemas.openxmlformats.org/spreadsheetml/2006/main" count="13" uniqueCount="9">
  <si>
    <t>测绘磁滞回线</t>
    <phoneticPr fontId="1" type="noConversion"/>
  </si>
  <si>
    <t>No</t>
    <phoneticPr fontId="1" type="noConversion"/>
  </si>
  <si>
    <t>Ux</t>
    <phoneticPr fontId="1" type="noConversion"/>
  </si>
  <si>
    <t>Uy</t>
    <phoneticPr fontId="1" type="noConversion"/>
  </si>
  <si>
    <t>H</t>
    <phoneticPr fontId="1" type="noConversion"/>
  </si>
  <si>
    <t>B</t>
    <phoneticPr fontId="1" type="noConversion"/>
  </si>
  <si>
    <t>测绘μ-H曲线</t>
    <phoneticPr fontId="1" type="noConversion"/>
  </si>
  <si>
    <t>U</t>
    <phoneticPr fontId="1" type="noConversion"/>
  </si>
  <si>
    <t>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</si>
</sst>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Sheet1!$D$3:$D$33</c:f>
              <c:numCache>
                <c:formatCode>General</c:formatCode>
                <c:ptCount val="31"/>
                <c:pt idx="0">
                  <c:v>118.1590444</c:v>
                </c:pt>
                <c:pt idx="1">
                  <c:v>97.921859999999995</c:v>
                </c:pt>
                <c:pt idx="2">
                  <c:v>81.601550000000003</c:v>
                </c:pt>
                <c:pt idx="3">
                  <c:v>65.281240000000011</c:v>
                </c:pt>
                <c:pt idx="4">
                  <c:v>48.960929999999998</c:v>
                </c:pt>
                <c:pt idx="5">
                  <c:v>32.640620000000006</c:v>
                </c:pt>
                <c:pt idx="6">
                  <c:v>16.320310000000003</c:v>
                </c:pt>
                <c:pt idx="7">
                  <c:v>0</c:v>
                </c:pt>
                <c:pt idx="8">
                  <c:v>-16.320310000000003</c:v>
                </c:pt>
                <c:pt idx="9">
                  <c:v>-27.418120800000004</c:v>
                </c:pt>
                <c:pt idx="10">
                  <c:v>-38.515931600000002</c:v>
                </c:pt>
                <c:pt idx="11">
                  <c:v>-46.023274199999996</c:v>
                </c:pt>
                <c:pt idx="12">
                  <c:v>-55.815460200000004</c:v>
                </c:pt>
                <c:pt idx="13">
                  <c:v>-63.322802800000005</c:v>
                </c:pt>
                <c:pt idx="14">
                  <c:v>-86.497643000000011</c:v>
                </c:pt>
                <c:pt idx="15">
                  <c:v>-108.36685840000001</c:v>
                </c:pt>
                <c:pt idx="16">
                  <c:v>-86.171236800000003</c:v>
                </c:pt>
                <c:pt idx="17">
                  <c:v>-66.586864800000001</c:v>
                </c:pt>
                <c:pt idx="18">
                  <c:v>-28.723745600000001</c:v>
                </c:pt>
                <c:pt idx="19">
                  <c:v>-16.320310000000003</c:v>
                </c:pt>
                <c:pt idx="20">
                  <c:v>0</c:v>
                </c:pt>
                <c:pt idx="21">
                  <c:v>16.320310000000003</c:v>
                </c:pt>
                <c:pt idx="22">
                  <c:v>32.640620000000006</c:v>
                </c:pt>
                <c:pt idx="23">
                  <c:v>43.085618400000001</c:v>
                </c:pt>
                <c:pt idx="24">
                  <c:v>51.245773400000004</c:v>
                </c:pt>
                <c:pt idx="25">
                  <c:v>60.385147000000003</c:v>
                </c:pt>
                <c:pt idx="26">
                  <c:v>65.281240000000011</c:v>
                </c:pt>
                <c:pt idx="27">
                  <c:v>69.524520600000002</c:v>
                </c:pt>
                <c:pt idx="28">
                  <c:v>77.358269399999998</c:v>
                </c:pt>
                <c:pt idx="29">
                  <c:v>97.921859999999995</c:v>
                </c:pt>
                <c:pt idx="30">
                  <c:v>118.1590444</c:v>
                </c:pt>
              </c:numCache>
            </c:numRef>
          </c:xVal>
          <c:yVal>
            <c:numRef>
              <c:f>Sheet1!$E$3:$E$33</c:f>
              <c:numCache>
                <c:formatCode>General</c:formatCode>
                <c:ptCount val="31"/>
                <c:pt idx="0">
                  <c:v>0.16653635999999999</c:v>
                </c:pt>
                <c:pt idx="1">
                  <c:v>0.16026273000000002</c:v>
                </c:pt>
                <c:pt idx="2">
                  <c:v>0.15570009000000001</c:v>
                </c:pt>
                <c:pt idx="3">
                  <c:v>0.14999679000000002</c:v>
                </c:pt>
                <c:pt idx="4">
                  <c:v>0.14087151000000001</c:v>
                </c:pt>
                <c:pt idx="5">
                  <c:v>0.13174623000000002</c:v>
                </c:pt>
                <c:pt idx="6">
                  <c:v>0.11862863999999999</c:v>
                </c:pt>
                <c:pt idx="7">
                  <c:v>0.10094840999999999</c:v>
                </c:pt>
                <c:pt idx="8">
                  <c:v>7.813521000000001E-2</c:v>
                </c:pt>
                <c:pt idx="9">
                  <c:v>5.7033E-2</c:v>
                </c:pt>
                <c:pt idx="10">
                  <c:v>2.2813200000000002E-2</c:v>
                </c:pt>
                <c:pt idx="11">
                  <c:v>0</c:v>
                </c:pt>
                <c:pt idx="12">
                  <c:v>-5.7033E-2</c:v>
                </c:pt>
                <c:pt idx="13">
                  <c:v>-0.114066</c:v>
                </c:pt>
                <c:pt idx="14">
                  <c:v>-0.15570009000000001</c:v>
                </c:pt>
                <c:pt idx="15">
                  <c:v>-0.16881768</c:v>
                </c:pt>
                <c:pt idx="16">
                  <c:v>-0.16083305999999997</c:v>
                </c:pt>
                <c:pt idx="17">
                  <c:v>-0.15398910000000002</c:v>
                </c:pt>
                <c:pt idx="18">
                  <c:v>-0.13687920000000001</c:v>
                </c:pt>
                <c:pt idx="19">
                  <c:v>-0.13288689000000001</c:v>
                </c:pt>
                <c:pt idx="20">
                  <c:v>-0.114066</c:v>
                </c:pt>
                <c:pt idx="21">
                  <c:v>-9.1823130000000003E-2</c:v>
                </c:pt>
                <c:pt idx="22">
                  <c:v>-6.159564E-2</c:v>
                </c:pt>
                <c:pt idx="23">
                  <c:v>-3.307914E-2</c:v>
                </c:pt>
                <c:pt idx="24">
                  <c:v>0</c:v>
                </c:pt>
                <c:pt idx="25">
                  <c:v>5.7033E-2</c:v>
                </c:pt>
                <c:pt idx="26">
                  <c:v>8.9541809999999999E-2</c:v>
                </c:pt>
                <c:pt idx="27">
                  <c:v>0.114066</c:v>
                </c:pt>
                <c:pt idx="28">
                  <c:v>0.13687920000000001</c:v>
                </c:pt>
                <c:pt idx="29">
                  <c:v>0.15627042000000002</c:v>
                </c:pt>
                <c:pt idx="30">
                  <c:v>0.16653635999999999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3-41AE-A61B-16E35481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920607"/>
        <c:axId val="2002414111"/>
      </c:scatterChart>
      <c:valAx>
        <c:axId val="200292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414111"/>
        <c:crosses val="autoZero"/>
        <c:crossBetween val="midCat"/>
      </c:valAx>
      <c:valAx>
        <c:axId val="20024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92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Sheet1!$D$37:$D$46</c:f>
              <c:numCache>
                <c:formatCode>General</c:formatCode>
                <c:ptCount val="10"/>
                <c:pt idx="0">
                  <c:v>17.136325500000002</c:v>
                </c:pt>
                <c:pt idx="1">
                  <c:v>33.946244800000002</c:v>
                </c:pt>
                <c:pt idx="2">
                  <c:v>40.1479626</c:v>
                </c:pt>
                <c:pt idx="3">
                  <c:v>50.103351700000005</c:v>
                </c:pt>
                <c:pt idx="4">
                  <c:v>60.874756300000001</c:v>
                </c:pt>
                <c:pt idx="5">
                  <c:v>67.729286500000001</c:v>
                </c:pt>
                <c:pt idx="6">
                  <c:v>75.236629100000002</c:v>
                </c:pt>
                <c:pt idx="7">
                  <c:v>93.025767000000002</c:v>
                </c:pt>
                <c:pt idx="8">
                  <c:v>131.86810480000003</c:v>
                </c:pt>
                <c:pt idx="9">
                  <c:v>177.89137900000003</c:v>
                </c:pt>
              </c:numCache>
            </c:numRef>
          </c:xVal>
          <c:yVal>
            <c:numRef>
              <c:f>Sheet1!$F$37:$F$46</c:f>
              <c:numCache>
                <c:formatCode>General</c:formatCode>
                <c:ptCount val="10"/>
                <c:pt idx="0">
                  <c:v>3.2616292215037583E-3</c:v>
                </c:pt>
                <c:pt idx="1">
                  <c:v>3.3265929903386546E-3</c:v>
                </c:pt>
                <c:pt idx="2">
                  <c:v>3.3241343111144578E-3</c:v>
                </c:pt>
                <c:pt idx="3">
                  <c:v>3.3124736044355288E-3</c:v>
                </c:pt>
                <c:pt idx="4">
                  <c:v>3.3259623907521086E-3</c:v>
                </c:pt>
                <c:pt idx="5">
                  <c:v>3.2419808526995184E-3</c:v>
                </c:pt>
                <c:pt idx="6">
                  <c:v>3.2292858266825247E-3</c:v>
                </c:pt>
                <c:pt idx="7">
                  <c:v>2.9366924757524438E-3</c:v>
                </c:pt>
                <c:pt idx="8">
                  <c:v>2.3571268463395702E-3</c:v>
                </c:pt>
                <c:pt idx="9">
                  <c:v>1.856307325606824E-3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5A-42DF-92B1-404AA0AE0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857471"/>
        <c:axId val="2002421311"/>
      </c:scatterChart>
      <c:valAx>
        <c:axId val="177985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421311"/>
        <c:crosses val="autoZero"/>
        <c:crossBetween val="midCat"/>
      </c:valAx>
      <c:valAx>
        <c:axId val="20024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985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587188</xdr:colOff>
      <xdr:row>16</xdr:row>
      <xdr:rowOff>4482</xdr:rowOff>
    </xdr:from>
    <xdr:to>
      <xdr:col>17</xdr:col>
      <xdr:colOff>282388</xdr:colOff>
      <xdr:row>31</xdr:row>
      <xdr:rowOff>58270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574C82-BAA6-7FE4-7FED-42CA5E697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587188</xdr:colOff>
      <xdr:row>32</xdr:row>
      <xdr:rowOff>4482</xdr:rowOff>
    </xdr:from>
    <xdr:to>
      <xdr:col>17</xdr:col>
      <xdr:colOff>282388</xdr:colOff>
      <xdr:row>47</xdr:row>
      <xdr:rowOff>58270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9ED6366-6BF9-8AF8-3310-663A98BAC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6" zoomScale="85" zoomScaleNormal="85" workbookViewId="0">
      <selection activeCell="W34" sqref="W34"/>
    </sheetView>
  </sheetViews>
  <sheetFormatPr defaultRowHeight="13.8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>
        <v>0.72399999999999998</v>
      </c>
      <c r="C3">
        <v>0.29199999999999998</v>
      </c>
      <c r="D3">
        <f>B3*163.2031</f>
        <v>118.1590444</v>
      </c>
      <c r="E3">
        <f>C3*0.57033</f>
        <v>0.16653635999999999</v>
      </c>
    </row>
    <row r="4" spans="1:5" x14ac:dyDescent="0.25">
      <c r="A4">
        <v>2</v>
      </c>
      <c r="B4">
        <v>0.6</v>
      </c>
      <c r="C4">
        <v>0.28100000000000003</v>
      </c>
      <c r="D4">
        <f t="shared" ref="D4:D33" si="0">B4*163.2031</f>
        <v>97.921859999999995</v>
      </c>
      <c r="E4">
        <f t="shared" ref="E4:E33" si="1">C4*0.57033</f>
        <v>0.16026273000000002</v>
      </c>
    </row>
    <row r="5" spans="1:5" x14ac:dyDescent="0.25">
      <c r="A5">
        <v>3</v>
      </c>
      <c r="B5">
        <v>0.5</v>
      </c>
      <c r="C5">
        <v>0.27300000000000002</v>
      </c>
      <c r="D5">
        <f t="shared" si="0"/>
        <v>81.601550000000003</v>
      </c>
      <c r="E5">
        <f t="shared" si="1"/>
        <v>0.15570009000000001</v>
      </c>
    </row>
    <row r="6" spans="1:5" x14ac:dyDescent="0.25">
      <c r="A6">
        <v>4</v>
      </c>
      <c r="B6">
        <v>0.4</v>
      </c>
      <c r="C6">
        <v>0.26300000000000001</v>
      </c>
      <c r="D6">
        <f t="shared" si="0"/>
        <v>65.281240000000011</v>
      </c>
      <c r="E6">
        <f t="shared" si="1"/>
        <v>0.14999679000000002</v>
      </c>
    </row>
    <row r="7" spans="1:5" x14ac:dyDescent="0.25">
      <c r="A7">
        <v>5</v>
      </c>
      <c r="B7">
        <v>0.3</v>
      </c>
      <c r="C7">
        <v>0.247</v>
      </c>
      <c r="D7">
        <f t="shared" si="0"/>
        <v>48.960929999999998</v>
      </c>
      <c r="E7">
        <f t="shared" si="1"/>
        <v>0.14087151000000001</v>
      </c>
    </row>
    <row r="8" spans="1:5" x14ac:dyDescent="0.25">
      <c r="A8">
        <v>6</v>
      </c>
      <c r="B8">
        <v>0.2</v>
      </c>
      <c r="C8">
        <v>0.23100000000000001</v>
      </c>
      <c r="D8">
        <f t="shared" si="0"/>
        <v>32.640620000000006</v>
      </c>
      <c r="E8">
        <f t="shared" si="1"/>
        <v>0.13174623000000002</v>
      </c>
    </row>
    <row r="9" spans="1:5" x14ac:dyDescent="0.25">
      <c r="A9">
        <v>7</v>
      </c>
      <c r="B9">
        <v>0.1</v>
      </c>
      <c r="C9">
        <v>0.20799999999999999</v>
      </c>
      <c r="D9">
        <f t="shared" si="0"/>
        <v>16.320310000000003</v>
      </c>
      <c r="E9">
        <f t="shared" si="1"/>
        <v>0.11862863999999999</v>
      </c>
    </row>
    <row r="10" spans="1:5" x14ac:dyDescent="0.25">
      <c r="A10">
        <v>8</v>
      </c>
      <c r="B10">
        <v>0</v>
      </c>
      <c r="C10">
        <v>0.17699999999999999</v>
      </c>
      <c r="D10">
        <f t="shared" si="0"/>
        <v>0</v>
      </c>
      <c r="E10">
        <f t="shared" si="1"/>
        <v>0.10094840999999999</v>
      </c>
    </row>
    <row r="11" spans="1:5" x14ac:dyDescent="0.25">
      <c r="A11">
        <v>9</v>
      </c>
      <c r="B11">
        <v>-0.1</v>
      </c>
      <c r="C11">
        <v>0.13700000000000001</v>
      </c>
      <c r="D11">
        <f t="shared" si="0"/>
        <v>-16.320310000000003</v>
      </c>
      <c r="E11">
        <f t="shared" si="1"/>
        <v>7.813521000000001E-2</v>
      </c>
    </row>
    <row r="12" spans="1:5" x14ac:dyDescent="0.25">
      <c r="A12">
        <v>10</v>
      </c>
      <c r="B12">
        <v>-0.16800000000000001</v>
      </c>
      <c r="C12">
        <v>0.1</v>
      </c>
      <c r="D12">
        <f t="shared" si="0"/>
        <v>-27.418120800000004</v>
      </c>
      <c r="E12">
        <f t="shared" si="1"/>
        <v>5.7033E-2</v>
      </c>
    </row>
    <row r="13" spans="1:5" x14ac:dyDescent="0.25">
      <c r="A13">
        <v>11</v>
      </c>
      <c r="B13">
        <v>-0.23599999999999999</v>
      </c>
      <c r="C13">
        <v>0.04</v>
      </c>
      <c r="D13">
        <f t="shared" si="0"/>
        <v>-38.515931600000002</v>
      </c>
      <c r="E13">
        <f t="shared" si="1"/>
        <v>2.2813200000000002E-2</v>
      </c>
    </row>
    <row r="14" spans="1:5" x14ac:dyDescent="0.25">
      <c r="A14">
        <v>12</v>
      </c>
      <c r="B14">
        <v>-0.28199999999999997</v>
      </c>
      <c r="C14">
        <v>0</v>
      </c>
      <c r="D14">
        <f t="shared" si="0"/>
        <v>-46.023274199999996</v>
      </c>
      <c r="E14">
        <f t="shared" si="1"/>
        <v>0</v>
      </c>
    </row>
    <row r="15" spans="1:5" x14ac:dyDescent="0.25">
      <c r="A15">
        <v>13</v>
      </c>
      <c r="B15">
        <v>-0.34200000000000003</v>
      </c>
      <c r="C15">
        <v>-0.1</v>
      </c>
      <c r="D15">
        <f t="shared" si="0"/>
        <v>-55.815460200000004</v>
      </c>
      <c r="E15">
        <f t="shared" si="1"/>
        <v>-5.7033E-2</v>
      </c>
    </row>
    <row r="16" spans="1:5" x14ac:dyDescent="0.25">
      <c r="A16">
        <v>14</v>
      </c>
      <c r="B16">
        <v>-0.38800000000000001</v>
      </c>
      <c r="C16">
        <v>-0.2</v>
      </c>
      <c r="D16">
        <f t="shared" si="0"/>
        <v>-63.322802800000005</v>
      </c>
      <c r="E16">
        <f t="shared" si="1"/>
        <v>-0.114066</v>
      </c>
    </row>
    <row r="17" spans="1:5" x14ac:dyDescent="0.25">
      <c r="A17">
        <v>15</v>
      </c>
      <c r="B17">
        <v>-0.53</v>
      </c>
      <c r="C17">
        <v>-0.27300000000000002</v>
      </c>
      <c r="D17">
        <f t="shared" si="0"/>
        <v>-86.497643000000011</v>
      </c>
      <c r="E17">
        <f t="shared" si="1"/>
        <v>-0.15570009000000001</v>
      </c>
    </row>
    <row r="18" spans="1:5" x14ac:dyDescent="0.25">
      <c r="A18">
        <v>16</v>
      </c>
      <c r="B18">
        <v>-0.66400000000000003</v>
      </c>
      <c r="C18">
        <v>-0.29599999999999999</v>
      </c>
      <c r="D18">
        <f t="shared" si="0"/>
        <v>-108.36685840000001</v>
      </c>
      <c r="E18">
        <f t="shared" si="1"/>
        <v>-0.16881768</v>
      </c>
    </row>
    <row r="19" spans="1:5" x14ac:dyDescent="0.25">
      <c r="A19">
        <v>17</v>
      </c>
      <c r="B19">
        <v>-0.52800000000000002</v>
      </c>
      <c r="C19">
        <v>-0.28199999999999997</v>
      </c>
      <c r="D19">
        <f t="shared" si="0"/>
        <v>-86.171236800000003</v>
      </c>
      <c r="E19">
        <f t="shared" si="1"/>
        <v>-0.16083305999999997</v>
      </c>
    </row>
    <row r="20" spans="1:5" x14ac:dyDescent="0.25">
      <c r="A20">
        <v>18</v>
      </c>
      <c r="B20">
        <v>-0.40799999999999997</v>
      </c>
      <c r="C20">
        <v>-0.27</v>
      </c>
      <c r="D20">
        <f t="shared" si="0"/>
        <v>-66.586864800000001</v>
      </c>
      <c r="E20">
        <f t="shared" si="1"/>
        <v>-0.15398910000000002</v>
      </c>
    </row>
    <row r="21" spans="1:5" x14ac:dyDescent="0.25">
      <c r="A21">
        <v>19</v>
      </c>
      <c r="B21">
        <v>-0.17599999999999999</v>
      </c>
      <c r="C21">
        <v>-0.24</v>
      </c>
      <c r="D21">
        <f t="shared" si="0"/>
        <v>-28.723745600000001</v>
      </c>
      <c r="E21">
        <f t="shared" si="1"/>
        <v>-0.13687920000000001</v>
      </c>
    </row>
    <row r="22" spans="1:5" x14ac:dyDescent="0.25">
      <c r="A22">
        <v>20</v>
      </c>
      <c r="B22">
        <v>-0.1</v>
      </c>
      <c r="C22">
        <v>-0.23300000000000001</v>
      </c>
      <c r="D22">
        <f t="shared" si="0"/>
        <v>-16.320310000000003</v>
      </c>
      <c r="E22">
        <f t="shared" si="1"/>
        <v>-0.13288689000000001</v>
      </c>
    </row>
    <row r="23" spans="1:5" x14ac:dyDescent="0.25">
      <c r="A23">
        <v>21</v>
      </c>
      <c r="B23">
        <v>0</v>
      </c>
      <c r="C23">
        <v>-0.2</v>
      </c>
      <c r="D23">
        <f t="shared" si="0"/>
        <v>0</v>
      </c>
      <c r="E23">
        <f t="shared" si="1"/>
        <v>-0.114066</v>
      </c>
    </row>
    <row r="24" spans="1:5" x14ac:dyDescent="0.25">
      <c r="A24">
        <v>22</v>
      </c>
      <c r="B24">
        <v>0.1</v>
      </c>
      <c r="C24">
        <v>-0.161</v>
      </c>
      <c r="D24">
        <f t="shared" si="0"/>
        <v>16.320310000000003</v>
      </c>
      <c r="E24">
        <f t="shared" si="1"/>
        <v>-9.1823130000000003E-2</v>
      </c>
    </row>
    <row r="25" spans="1:5" x14ac:dyDescent="0.25">
      <c r="A25">
        <v>23</v>
      </c>
      <c r="B25">
        <v>0.2</v>
      </c>
      <c r="C25">
        <v>-0.108</v>
      </c>
      <c r="D25">
        <f t="shared" si="0"/>
        <v>32.640620000000006</v>
      </c>
      <c r="E25">
        <f t="shared" si="1"/>
        <v>-6.159564E-2</v>
      </c>
    </row>
    <row r="26" spans="1:5" x14ac:dyDescent="0.25">
      <c r="A26">
        <v>24</v>
      </c>
      <c r="B26">
        <v>0.26400000000000001</v>
      </c>
      <c r="C26">
        <v>-5.8000000000000003E-2</v>
      </c>
      <c r="D26">
        <f t="shared" si="0"/>
        <v>43.085618400000001</v>
      </c>
      <c r="E26">
        <f t="shared" si="1"/>
        <v>-3.307914E-2</v>
      </c>
    </row>
    <row r="27" spans="1:5" x14ac:dyDescent="0.25">
      <c r="A27">
        <v>25</v>
      </c>
      <c r="B27">
        <v>0.314</v>
      </c>
      <c r="C27">
        <v>0</v>
      </c>
      <c r="D27">
        <f t="shared" si="0"/>
        <v>51.245773400000004</v>
      </c>
      <c r="E27">
        <f t="shared" si="1"/>
        <v>0</v>
      </c>
    </row>
    <row r="28" spans="1:5" x14ac:dyDescent="0.25">
      <c r="A28">
        <v>26</v>
      </c>
      <c r="B28">
        <v>0.37</v>
      </c>
      <c r="C28">
        <v>0.1</v>
      </c>
      <c r="D28">
        <f t="shared" si="0"/>
        <v>60.385147000000003</v>
      </c>
      <c r="E28">
        <f t="shared" si="1"/>
        <v>5.7033E-2</v>
      </c>
    </row>
    <row r="29" spans="1:5" x14ac:dyDescent="0.25">
      <c r="A29">
        <v>27</v>
      </c>
      <c r="B29">
        <v>0.4</v>
      </c>
      <c r="C29">
        <v>0.157</v>
      </c>
      <c r="D29">
        <f t="shared" si="0"/>
        <v>65.281240000000011</v>
      </c>
      <c r="E29">
        <f t="shared" si="1"/>
        <v>8.9541809999999999E-2</v>
      </c>
    </row>
    <row r="30" spans="1:5" x14ac:dyDescent="0.25">
      <c r="A30">
        <v>28</v>
      </c>
      <c r="B30">
        <v>0.42599999999999999</v>
      </c>
      <c r="C30">
        <v>0.2</v>
      </c>
      <c r="D30">
        <f t="shared" si="0"/>
        <v>69.524520600000002</v>
      </c>
      <c r="E30">
        <f t="shared" si="1"/>
        <v>0.114066</v>
      </c>
    </row>
    <row r="31" spans="1:5" x14ac:dyDescent="0.25">
      <c r="A31">
        <v>29</v>
      </c>
      <c r="B31">
        <v>0.47399999999999998</v>
      </c>
      <c r="C31">
        <v>0.24</v>
      </c>
      <c r="D31">
        <f t="shared" si="0"/>
        <v>77.358269399999998</v>
      </c>
      <c r="E31">
        <f t="shared" si="1"/>
        <v>0.13687920000000001</v>
      </c>
    </row>
    <row r="32" spans="1:5" x14ac:dyDescent="0.25">
      <c r="A32">
        <v>30</v>
      </c>
      <c r="B32">
        <v>0.6</v>
      </c>
      <c r="C32">
        <v>0.27400000000000002</v>
      </c>
      <c r="D32">
        <f t="shared" si="0"/>
        <v>97.921859999999995</v>
      </c>
      <c r="E32">
        <f t="shared" si="1"/>
        <v>0.15627042000000002</v>
      </c>
    </row>
    <row r="33" spans="1:6" x14ac:dyDescent="0.25">
      <c r="A33">
        <v>31</v>
      </c>
      <c r="B33">
        <v>0.72399999999999998</v>
      </c>
      <c r="C33">
        <v>0.29199999999999998</v>
      </c>
      <c r="D33">
        <f t="shared" si="0"/>
        <v>118.1590444</v>
      </c>
      <c r="E33">
        <f t="shared" si="1"/>
        <v>0.16653635999999999</v>
      </c>
    </row>
    <row r="35" spans="1:6" x14ac:dyDescent="0.25">
      <c r="A35" t="s">
        <v>6</v>
      </c>
    </row>
    <row r="36" spans="1:6" x14ac:dyDescent="0.25">
      <c r="A36" t="s">
        <v>7</v>
      </c>
      <c r="B36" t="s">
        <v>2</v>
      </c>
      <c r="C36" t="s">
        <v>3</v>
      </c>
      <c r="D36" t="s">
        <v>4</v>
      </c>
      <c r="E36" t="s">
        <v>5</v>
      </c>
      <c r="F36" t="s">
        <v>8</v>
      </c>
    </row>
    <row r="37" spans="1:6" x14ac:dyDescent="0.25">
      <c r="A37">
        <v>0.5</v>
      </c>
      <c r="B37">
        <v>0.105</v>
      </c>
      <c r="C37">
        <v>9.8000000000000004E-2</v>
      </c>
      <c r="D37">
        <f>B37*163.2031</f>
        <v>17.136325500000002</v>
      </c>
      <c r="E37">
        <f>C37*0.57033</f>
        <v>5.5892340000000006E-2</v>
      </c>
      <c r="F37">
        <f>E37/D37</f>
        <v>3.2616292215037583E-3</v>
      </c>
    </row>
    <row r="38" spans="1:6" x14ac:dyDescent="0.25">
      <c r="A38">
        <v>1</v>
      </c>
      <c r="B38">
        <v>0.20799999999999999</v>
      </c>
      <c r="C38">
        <v>0.19800000000000001</v>
      </c>
      <c r="D38">
        <f t="shared" ref="D38:D46" si="2">B38*163.2031</f>
        <v>33.946244800000002</v>
      </c>
      <c r="E38">
        <f t="shared" ref="E38:E46" si="3">C38*0.57033</f>
        <v>0.11292534000000001</v>
      </c>
      <c r="F38">
        <f t="shared" ref="F38:F46" si="4">E38/D38</f>
        <v>3.3265929903386546E-3</v>
      </c>
    </row>
    <row r="39" spans="1:6" x14ac:dyDescent="0.25">
      <c r="A39">
        <v>1.2</v>
      </c>
      <c r="B39">
        <v>0.246</v>
      </c>
      <c r="C39">
        <v>0.23400000000000001</v>
      </c>
      <c r="D39">
        <f t="shared" si="2"/>
        <v>40.1479626</v>
      </c>
      <c r="E39">
        <f t="shared" si="3"/>
        <v>0.13345722000000002</v>
      </c>
      <c r="F39">
        <f t="shared" si="4"/>
        <v>3.3241343111144578E-3</v>
      </c>
    </row>
    <row r="40" spans="1:6" x14ac:dyDescent="0.25">
      <c r="A40">
        <v>1.5</v>
      </c>
      <c r="B40">
        <v>0.307</v>
      </c>
      <c r="C40">
        <v>0.29099999999999998</v>
      </c>
      <c r="D40">
        <f t="shared" si="2"/>
        <v>50.103351700000005</v>
      </c>
      <c r="E40">
        <f t="shared" si="3"/>
        <v>0.16596602999999999</v>
      </c>
      <c r="F40">
        <f t="shared" si="4"/>
        <v>3.3124736044355288E-3</v>
      </c>
    </row>
    <row r="41" spans="1:6" x14ac:dyDescent="0.25">
      <c r="A41">
        <v>1.8</v>
      </c>
      <c r="B41">
        <v>0.373</v>
      </c>
      <c r="C41">
        <v>0.35499999999999998</v>
      </c>
      <c r="D41">
        <f t="shared" si="2"/>
        <v>60.874756300000001</v>
      </c>
      <c r="E41">
        <f t="shared" si="3"/>
        <v>0.20246714999999998</v>
      </c>
      <c r="F41">
        <f t="shared" si="4"/>
        <v>3.3259623907521086E-3</v>
      </c>
    </row>
    <row r="42" spans="1:6" x14ac:dyDescent="0.25">
      <c r="A42">
        <v>2</v>
      </c>
      <c r="B42">
        <v>0.41499999999999998</v>
      </c>
      <c r="C42">
        <v>0.38500000000000001</v>
      </c>
      <c r="D42">
        <f t="shared" si="2"/>
        <v>67.729286500000001</v>
      </c>
      <c r="E42">
        <f t="shared" si="3"/>
        <v>0.21957705</v>
      </c>
      <c r="F42">
        <f t="shared" si="4"/>
        <v>3.2419808526995184E-3</v>
      </c>
    </row>
    <row r="43" spans="1:6" x14ac:dyDescent="0.25">
      <c r="A43">
        <v>2.2000000000000002</v>
      </c>
      <c r="B43">
        <v>0.46100000000000002</v>
      </c>
      <c r="C43">
        <v>0.42599999999999999</v>
      </c>
      <c r="D43">
        <f t="shared" si="2"/>
        <v>75.236629100000002</v>
      </c>
      <c r="E43">
        <f t="shared" si="3"/>
        <v>0.24296058000000001</v>
      </c>
      <c r="F43">
        <f t="shared" si="4"/>
        <v>3.2292858266825247E-3</v>
      </c>
    </row>
    <row r="44" spans="1:6" x14ac:dyDescent="0.25">
      <c r="A44">
        <v>2.5</v>
      </c>
      <c r="B44">
        <v>0.56999999999999995</v>
      </c>
      <c r="C44">
        <v>0.47899999999999998</v>
      </c>
      <c r="D44">
        <f t="shared" si="2"/>
        <v>93.025767000000002</v>
      </c>
      <c r="E44">
        <f t="shared" si="3"/>
        <v>0.27318807000000001</v>
      </c>
      <c r="F44">
        <f t="shared" si="4"/>
        <v>2.9366924757524438E-3</v>
      </c>
    </row>
    <row r="45" spans="1:6" x14ac:dyDescent="0.25">
      <c r="A45">
        <v>2.8</v>
      </c>
      <c r="B45">
        <v>0.80800000000000005</v>
      </c>
      <c r="C45">
        <v>0.54500000000000004</v>
      </c>
      <c r="D45">
        <f t="shared" si="2"/>
        <v>131.86810480000003</v>
      </c>
      <c r="E45">
        <f t="shared" si="3"/>
        <v>0.31082985000000002</v>
      </c>
      <c r="F45">
        <f t="shared" si="4"/>
        <v>2.3571268463395702E-3</v>
      </c>
    </row>
    <row r="46" spans="1:6" x14ac:dyDescent="0.25">
      <c r="A46">
        <v>3</v>
      </c>
      <c r="B46">
        <v>1.0900000000000001</v>
      </c>
      <c r="C46">
        <v>0.57899999999999996</v>
      </c>
      <c r="D46">
        <f t="shared" si="2"/>
        <v>177.89137900000003</v>
      </c>
      <c r="E46">
        <f t="shared" si="3"/>
        <v>0.33022107000000001</v>
      </c>
      <c r="F46">
        <f t="shared" si="4"/>
        <v>1.856307325606824E-3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l l</cp:lastModifiedBy>
  <cp:lastPrinted>2022-10-12T10:44:34Z</cp:lastPrinted>
  <dcterms:created xsi:type="dcterms:W3CDTF">2015-06-05T18:19:34Z</dcterms:created>
  <dcterms:modified xsi:type="dcterms:W3CDTF">2023-03-20T15:15:37Z</dcterms:modified>
</cp:coreProperties>
</file>