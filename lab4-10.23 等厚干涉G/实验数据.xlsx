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ersonal Documents\3大二上课程资料\大学物理实验周四678\大物实验报告\lab4-10.23 等厚干涉G\"/>
    </mc:Choice>
  </mc:AlternateContent>
  <xr:revisionPtr revIDLastSave="0" documentId="13_ncr:1_{56163EBB-488F-4167-A682-BBB3CD73BD0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薄片" sheetId="1" r:id="rId1"/>
    <sheet name="牛顿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G3" i="2"/>
  <c r="G4" i="2"/>
  <c r="G5" i="2"/>
  <c r="G6" i="2"/>
  <c r="G7" i="2"/>
  <c r="G2" i="2"/>
  <c r="F3" i="2"/>
  <c r="F4" i="2"/>
  <c r="F5" i="2"/>
  <c r="F6" i="2"/>
  <c r="F7" i="2"/>
  <c r="F2" i="2"/>
  <c r="E3" i="2"/>
  <c r="E4" i="2"/>
  <c r="E5" i="2"/>
  <c r="E6" i="2"/>
  <c r="E7" i="2"/>
  <c r="E8" i="2"/>
  <c r="E9" i="2"/>
  <c r="E10" i="2"/>
  <c r="E11" i="2"/>
  <c r="E12" i="2"/>
  <c r="E13" i="2"/>
  <c r="E2" i="2"/>
  <c r="D3" i="2"/>
  <c r="D4" i="2"/>
  <c r="D5" i="2"/>
  <c r="D6" i="2"/>
  <c r="D7" i="2"/>
  <c r="D8" i="2"/>
  <c r="D9" i="2"/>
  <c r="D10" i="2"/>
  <c r="D11" i="2"/>
  <c r="D12" i="2"/>
  <c r="D13" i="2"/>
  <c r="D2" i="2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<sst xmlns="http://schemas.openxmlformats.org/spreadsheetml/2006/main" count="11" uniqueCount="10">
  <si>
    <t>标尺读数s/mm</t>
    <phoneticPr fontId="1" type="noConversion"/>
  </si>
  <si>
    <t>e/(10^-5m)</t>
    <phoneticPr fontId="1" type="noConversion"/>
  </si>
  <si>
    <t>delta s</t>
    <phoneticPr fontId="1" type="noConversion"/>
  </si>
  <si>
    <t>圈数号</t>
    <phoneticPr fontId="1" type="noConversion"/>
  </si>
  <si>
    <t>d右</t>
    <phoneticPr fontId="1" type="noConversion"/>
  </si>
  <si>
    <t>d左</t>
    <phoneticPr fontId="1" type="noConversion"/>
  </si>
  <si>
    <t>d右-d左</t>
    <phoneticPr fontId="1" type="noConversion"/>
  </si>
  <si>
    <t>dk^2</t>
    <phoneticPr fontId="1" type="noConversion"/>
  </si>
  <si>
    <t>R</t>
    <phoneticPr fontId="1" type="noConversion"/>
  </si>
  <si>
    <t>平方差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</si>
</sst>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M6" sqref="M6"/>
    </sheetView>
  </sheetViews>
  <sheetFormatPr defaultRowHeight="14.15" x14ac:dyDescent="0.35"/>
  <cols>
    <col min="1" max="2" width="17.0703125" customWidth="1"/>
    <col min="3" max="3" width="17.7109375" customWidth="1"/>
    <col min="4" max="4" width="20.640625" customWidth="1"/>
  </cols>
  <sheetData>
    <row r="1" spans="1:4" x14ac:dyDescent="0.35">
      <c r="A1" s="1" t="s">
        <v>0</v>
      </c>
      <c r="B1" s="1" t="s">
        <v>0</v>
      </c>
      <c r="C1" s="1" t="s">
        <v>2</v>
      </c>
      <c r="D1" s="1" t="s">
        <v>1</v>
      </c>
    </row>
    <row r="2" spans="1:4" x14ac:dyDescent="0.35">
      <c r="A2" s="1">
        <v>0.76500000000000001</v>
      </c>
      <c r="B2" s="1">
        <v>4.42</v>
      </c>
      <c r="C2" s="1">
        <f>B2-A2</f>
        <v>3.6549999999999998</v>
      </c>
      <c r="D2" s="1">
        <f>(5*0.0000005893*44)/C2*100000</f>
        <v>3.547086183310534</v>
      </c>
    </row>
    <row r="3" spans="1:4" x14ac:dyDescent="0.35">
      <c r="A3" s="1">
        <v>1.135</v>
      </c>
      <c r="B3" s="1">
        <v>4.7949999999999999</v>
      </c>
      <c r="C3" s="1">
        <f t="shared" ref="C3:C11" si="0">B3-A3</f>
        <v>3.66</v>
      </c>
      <c r="D3" s="1">
        <f t="shared" ref="D3:D11" si="1">(5*0.0000005893*44)/C3*100000</f>
        <v>3.5422404371584699</v>
      </c>
    </row>
    <row r="4" spans="1:4" x14ac:dyDescent="0.35">
      <c r="A4" s="1">
        <v>1.53</v>
      </c>
      <c r="B4" s="1">
        <v>5.14</v>
      </c>
      <c r="C4" s="1">
        <f t="shared" si="0"/>
        <v>3.6099999999999994</v>
      </c>
      <c r="D4" s="1">
        <f t="shared" si="1"/>
        <v>3.5913019390581722</v>
      </c>
    </row>
    <row r="5" spans="1:4" x14ac:dyDescent="0.35">
      <c r="A5" s="1">
        <v>1.895</v>
      </c>
      <c r="B5" s="1">
        <v>5.5</v>
      </c>
      <c r="C5" s="1">
        <f t="shared" si="0"/>
        <v>3.605</v>
      </c>
      <c r="D5" s="1">
        <f t="shared" si="1"/>
        <v>3.5962829403606102</v>
      </c>
    </row>
    <row r="6" spans="1:4" x14ac:dyDescent="0.35">
      <c r="A6" s="1">
        <v>2.2349999999999999</v>
      </c>
      <c r="B6" s="1">
        <v>5.85</v>
      </c>
      <c r="C6" s="1">
        <f t="shared" si="0"/>
        <v>3.6149999999999998</v>
      </c>
      <c r="D6" s="1">
        <f t="shared" si="1"/>
        <v>3.5863347164591981</v>
      </c>
    </row>
    <row r="7" spans="1:4" x14ac:dyDescent="0.35">
      <c r="A7" s="1">
        <v>2.64</v>
      </c>
      <c r="B7" s="1">
        <v>6.2350000000000003</v>
      </c>
      <c r="C7" s="1">
        <f t="shared" si="0"/>
        <v>3.5950000000000002</v>
      </c>
      <c r="D7" s="1">
        <f t="shared" si="1"/>
        <v>3.6062865090403333</v>
      </c>
    </row>
    <row r="8" spans="1:4" x14ac:dyDescent="0.35">
      <c r="A8" s="1">
        <v>2.97</v>
      </c>
      <c r="B8" s="1">
        <v>6.55</v>
      </c>
      <c r="C8" s="1">
        <f t="shared" si="0"/>
        <v>3.5799999999999996</v>
      </c>
      <c r="D8" s="1">
        <f t="shared" si="1"/>
        <v>3.6213966480446929</v>
      </c>
    </row>
    <row r="9" spans="1:4" x14ac:dyDescent="0.35">
      <c r="A9" s="1">
        <v>3.33</v>
      </c>
      <c r="B9" s="1">
        <v>6.9050000000000002</v>
      </c>
      <c r="C9" s="1">
        <f t="shared" si="0"/>
        <v>3.5750000000000002</v>
      </c>
      <c r="D9" s="1">
        <f t="shared" si="1"/>
        <v>3.626461538461538</v>
      </c>
    </row>
    <row r="10" spans="1:4" x14ac:dyDescent="0.35">
      <c r="A10" s="1">
        <v>3.71</v>
      </c>
      <c r="B10" s="1">
        <v>7.23</v>
      </c>
      <c r="C10" s="1">
        <f t="shared" si="0"/>
        <v>3.5200000000000005</v>
      </c>
      <c r="D10" s="1">
        <f t="shared" si="1"/>
        <v>3.6831249999999995</v>
      </c>
    </row>
    <row r="11" spans="1:4" x14ac:dyDescent="0.35">
      <c r="A11" s="1">
        <v>4.07</v>
      </c>
      <c r="B11" s="1">
        <v>7.5750000000000002</v>
      </c>
      <c r="C11" s="1">
        <f t="shared" si="0"/>
        <v>3.5049999999999999</v>
      </c>
      <c r="D11" s="1">
        <f t="shared" si="1"/>
        <v>3.6988873038516403</v>
      </c>
    </row>
    <row r="12" spans="1:4" x14ac:dyDescent="0.35">
      <c r="A12" s="1"/>
      <c r="B12" s="1"/>
      <c r="C12" s="3">
        <f>SUM(C2:C11)</f>
        <v>35.92</v>
      </c>
      <c r="D12" s="3">
        <f>AVERAGE(D2:D11)</f>
        <v>3.6099403215745189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73AB-5B0E-4B71-9198-D76CA623C6DC}">
  <dimension ref="A1:G13"/>
  <sheetViews>
    <sheetView workbookViewId="0">
      <selection activeCell="H6" sqref="H6"/>
    </sheetView>
  </sheetViews>
  <sheetFormatPr defaultRowHeight="14.15" x14ac:dyDescent="0.35"/>
  <cols>
    <col min="7" max="7" width="10.5" customWidth="1"/>
  </cols>
  <sheetData>
    <row r="1" spans="1:7" x14ac:dyDescent="0.35">
      <c r="A1" s="2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8</v>
      </c>
    </row>
    <row r="2" spans="1:7" x14ac:dyDescent="0.35">
      <c r="A2" s="2">
        <v>17</v>
      </c>
      <c r="B2" s="1">
        <v>11.95</v>
      </c>
      <c r="C2" s="1">
        <v>5.24</v>
      </c>
      <c r="D2" s="1">
        <f>B2-C2</f>
        <v>6.7099999999999991</v>
      </c>
      <c r="E2" s="1">
        <f>D2*D2</f>
        <v>45.02409999999999</v>
      </c>
      <c r="F2" s="1">
        <f>E2-E8</f>
        <v>14.829074999999989</v>
      </c>
      <c r="G2" s="1">
        <f>F2/(24*0.5893)</f>
        <v>1.0484950364839631</v>
      </c>
    </row>
    <row r="3" spans="1:7" x14ac:dyDescent="0.35">
      <c r="A3" s="2">
        <v>16</v>
      </c>
      <c r="B3" s="1">
        <v>11.86</v>
      </c>
      <c r="C3" s="1">
        <v>5.33</v>
      </c>
      <c r="D3" s="1">
        <f t="shared" ref="D3:D13" si="0">B3-C3</f>
        <v>6.5299999999999994</v>
      </c>
      <c r="E3" s="1">
        <f t="shared" ref="E3:E13" si="1">D3*D3</f>
        <v>42.640899999999995</v>
      </c>
      <c r="F3" s="1">
        <f t="shared" ref="F3:F7" si="2">E3-E9</f>
        <v>14.920674999999999</v>
      </c>
      <c r="G3" s="1">
        <f t="shared" ref="G3:G7" si="3">F3/(24*0.5893)</f>
        <v>1.0549716471519881</v>
      </c>
    </row>
    <row r="4" spans="1:7" x14ac:dyDescent="0.35">
      <c r="A4" s="2">
        <v>15</v>
      </c>
      <c r="B4" s="1">
        <v>11.765000000000001</v>
      </c>
      <c r="C4" s="1">
        <v>5.43</v>
      </c>
      <c r="D4" s="1">
        <f t="shared" si="0"/>
        <v>6.3350000000000009</v>
      </c>
      <c r="E4" s="1">
        <f t="shared" si="1"/>
        <v>40.132225000000012</v>
      </c>
      <c r="F4" s="1">
        <f t="shared" si="2"/>
        <v>14.78100000000002</v>
      </c>
      <c r="G4" s="1">
        <f t="shared" si="3"/>
        <v>1.0450958764636022</v>
      </c>
    </row>
    <row r="5" spans="1:7" x14ac:dyDescent="0.35">
      <c r="A5" s="2">
        <v>14</v>
      </c>
      <c r="B5" s="1">
        <v>11.664999999999999</v>
      </c>
      <c r="C5" s="1">
        <v>5.5250000000000004</v>
      </c>
      <c r="D5" s="1">
        <f t="shared" si="0"/>
        <v>6.1399999999999988</v>
      </c>
      <c r="E5" s="1">
        <f t="shared" si="1"/>
        <v>37.699599999999982</v>
      </c>
      <c r="F5" s="1">
        <f t="shared" si="2"/>
        <v>14.851199999999981</v>
      </c>
      <c r="G5" s="1">
        <f t="shared" si="3"/>
        <v>1.0500593924995745</v>
      </c>
    </row>
    <row r="6" spans="1:7" x14ac:dyDescent="0.35">
      <c r="A6" s="2">
        <v>13</v>
      </c>
      <c r="B6" s="1">
        <v>11.565</v>
      </c>
      <c r="C6" s="1">
        <v>5.62</v>
      </c>
      <c r="D6" s="1">
        <f t="shared" si="0"/>
        <v>5.9449999999999994</v>
      </c>
      <c r="E6" s="1">
        <f t="shared" si="1"/>
        <v>35.34302499999999</v>
      </c>
      <c r="F6" s="1">
        <f t="shared" si="2"/>
        <v>14.912624999999995</v>
      </c>
      <c r="G6" s="1">
        <f t="shared" si="3"/>
        <v>1.0544024690310534</v>
      </c>
    </row>
    <row r="7" spans="1:7" x14ac:dyDescent="0.35">
      <c r="A7" s="2">
        <v>12</v>
      </c>
      <c r="B7" s="1">
        <v>11.45</v>
      </c>
      <c r="C7" s="1">
        <v>5.7249999999999996</v>
      </c>
      <c r="D7" s="1">
        <f t="shared" si="0"/>
        <v>5.7249999999999996</v>
      </c>
      <c r="E7" s="1">
        <f t="shared" si="1"/>
        <v>32.775624999999998</v>
      </c>
      <c r="F7" s="1">
        <f t="shared" si="2"/>
        <v>14.924999999999994</v>
      </c>
      <c r="G7" s="1">
        <f t="shared" si="3"/>
        <v>1.0552774478194464</v>
      </c>
    </row>
    <row r="8" spans="1:7" x14ac:dyDescent="0.35">
      <c r="A8" s="2">
        <v>11</v>
      </c>
      <c r="B8" s="1">
        <v>11.33</v>
      </c>
      <c r="C8" s="1">
        <v>5.835</v>
      </c>
      <c r="D8" s="1">
        <f t="shared" si="0"/>
        <v>5.4950000000000001</v>
      </c>
      <c r="E8" s="1">
        <f t="shared" si="1"/>
        <v>30.195025000000001</v>
      </c>
      <c r="F8" s="1"/>
      <c r="G8" s="1"/>
    </row>
    <row r="9" spans="1:7" x14ac:dyDescent="0.35">
      <c r="A9" s="2">
        <v>10</v>
      </c>
      <c r="B9" s="1">
        <v>11.225</v>
      </c>
      <c r="C9" s="1">
        <v>5.96</v>
      </c>
      <c r="D9" s="1">
        <f t="shared" si="0"/>
        <v>5.2649999999999997</v>
      </c>
      <c r="E9" s="1">
        <f t="shared" si="1"/>
        <v>27.720224999999996</v>
      </c>
      <c r="F9" s="1"/>
      <c r="G9" s="1"/>
    </row>
    <row r="10" spans="1:7" x14ac:dyDescent="0.35">
      <c r="A10" s="2">
        <v>9</v>
      </c>
      <c r="B10" s="1">
        <v>11.11</v>
      </c>
      <c r="C10" s="1">
        <v>6.0750000000000002</v>
      </c>
      <c r="D10" s="1">
        <f t="shared" si="0"/>
        <v>5.0349999999999993</v>
      </c>
      <c r="E10" s="1">
        <f t="shared" si="1"/>
        <v>25.351224999999992</v>
      </c>
      <c r="F10" s="1"/>
      <c r="G10" s="1"/>
    </row>
    <row r="11" spans="1:7" x14ac:dyDescent="0.35">
      <c r="A11" s="2">
        <v>8</v>
      </c>
      <c r="B11" s="1">
        <v>10.99</v>
      </c>
      <c r="C11" s="1">
        <v>6.21</v>
      </c>
      <c r="D11" s="1">
        <f t="shared" si="0"/>
        <v>4.78</v>
      </c>
      <c r="E11" s="1">
        <f t="shared" si="1"/>
        <v>22.848400000000002</v>
      </c>
      <c r="F11" s="1"/>
      <c r="G11" s="1"/>
    </row>
    <row r="12" spans="1:7" x14ac:dyDescent="0.35">
      <c r="A12" s="2">
        <v>7</v>
      </c>
      <c r="B12" s="1">
        <v>10.86</v>
      </c>
      <c r="C12" s="1">
        <v>6.34</v>
      </c>
      <c r="D12" s="1">
        <f t="shared" si="0"/>
        <v>4.5199999999999996</v>
      </c>
      <c r="E12" s="1">
        <f t="shared" si="1"/>
        <v>20.430399999999995</v>
      </c>
      <c r="F12" s="1"/>
      <c r="G12" s="1"/>
    </row>
    <row r="13" spans="1:7" x14ac:dyDescent="0.35">
      <c r="A13" s="2">
        <v>6</v>
      </c>
      <c r="B13" s="1">
        <v>10.71</v>
      </c>
      <c r="C13" s="1">
        <v>6.4850000000000003</v>
      </c>
      <c r="D13" s="1">
        <f t="shared" si="0"/>
        <v>4.2250000000000005</v>
      </c>
      <c r="E13" s="1">
        <f t="shared" si="1"/>
        <v>17.850625000000004</v>
      </c>
      <c r="F13" s="1"/>
      <c r="G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薄片</vt:lpstr>
      <vt:lpstr>牛顿环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yhf216</dc:creator>
  <cp:lastModifiedBy>星 曦</cp:lastModifiedBy>
  <dcterms:created xsi:type="dcterms:W3CDTF">2015-06-05T18:19:34Z</dcterms:created>
  <dcterms:modified xsi:type="dcterms:W3CDTF">2025-10-24T12:49:24Z</dcterms:modified>
</cp:coreProperties>
</file>